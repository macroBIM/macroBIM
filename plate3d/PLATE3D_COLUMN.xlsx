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<sst xmlns="http://schemas.openxmlformats.org/spreadsheetml/2006/main" count="981" uniqueCount="468">
  <si>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</si>
  <si>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</si>
  <si>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</si>
  <si>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</si>
  <si>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</si>
  <si>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</si>
  <si>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</si>
  <si>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</si>
  <si>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</si>
  <si>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</si>
  <si>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</si>
  <si>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</si>
  <si>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</si>
  <si>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</si>
  <si>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</si>
  <si>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</si>
  <si>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</si>
  <si>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</si>
  <si>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</si>
  <si>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</si>
  <si>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</si>
  <si>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</si>
  <si>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</si>
  <si>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</si>
  <si>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</si>
  <si>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</si>
  <si>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</si>
  <si>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</si>
  <si>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</si>
  <si>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</si>
  <si>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</si>
  <si>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</si>
  <si>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</si>
  <si>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</si>
  <si>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</si>
  <si>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</si>
  <si>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scallop</t>
  </si>
  <si>
    <t>size</t>
  </si>
  <si>
    <t>clearance</t>
  </si>
  <si>
    <t>1</t>
  </si>
  <si>
    <t>upper stiffener</t>
  </si>
  <si>
    <t>C</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</si>
  <si>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</si>
  <si>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</si>
  <si>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</si>
  <si>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</si>
  <si>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</si>
  <si>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</si>
  <si>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</si>
  <si>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</si>
  <si>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</si>
  <si>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</si>
  <si>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</si>
  <si>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</si>
  <si>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</si>
  <si>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</si>
  <si>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</si>
  <si>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</si>
  <si>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</si>
  <si>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</si>
  <si>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</si>
  <si>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</si>
  <si>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</si>
  <si>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</si>
  <si>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</si>
  <si>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</si>
  <si>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</si>
  <si>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</si>
  <si>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</si>
  <si>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</si>
  <si>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</si>
  <si>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</si>
  <si>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</si>
  <si>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</si>
  <si>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</si>
  <si>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</si>
  <si>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</si>
  <si>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</si>
  <si>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</si>
  <si>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</si>
  <si>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</si>
  <si>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</si>
  <si>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</si>
  <si>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</si>
  <si>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</si>
  <si>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</si>
  <si>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</si>
  <si>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</si>
  <si>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</si>
  <si>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</si>
  <si>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</si>
  <si>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</si>
  <si>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</si>
  <si>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</si>
  <si>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</si>
  <si>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</si>
  <si>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</si>
  <si>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</si>
  <si>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</si>
  <si>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</si>
  <si>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</si>
  <si>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</si>
  <si>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</si>
  <si>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</si>
  <si>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</si>
  <si>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</si>
  <si>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</si>
  <si>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</si>
  <si>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</si>
  <si>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</si>
  <si>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</si>
  <si>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</si>
  <si>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</si>
  <si>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</si>
  <si>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</si>
  <si>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</si>
  <si>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</si>
  <si>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</si>
  <si>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</si>
  <si>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</si>
  <si>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</si>
  <si>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</si>
  <si>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</si>
  <si>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</si>
  <si>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</si>
  <si>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</si>
  <si>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</si>
  <si>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</si>
  <si>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</si>
  <si>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</si>
  <si>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</si>
  <si>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</si>
  <si>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</si>
  <si>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</si>
  <si>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</si>
  <si>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</si>
  <si>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</si>
  <si>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</si>
  <si>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</si>
  <si>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</si>
  <si>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</si>
  <si>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</si>
  <si>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</si>
  <si>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</si>
  <si>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</si>
  <si>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</si>
  <si>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</si>
  <si>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</si>
  <si>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</si>
  <si>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</si>
  <si>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</si>
  <si>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</si>
  <si>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</si>
  <si>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</si>
  <si>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</si>
  <si>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</si>
  <si>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</si>
  <si>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</si>
  <si>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</si>
  <si>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</si>
  <si>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</si>
  <si>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</si>
  <si>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</si>
  <si>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</si>
  <si>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</si>
  <si>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</si>
  <si>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</si>
  <si>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</si>
  <si>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</si>
  <si>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</si>
  <si>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</si>
  <si>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the stiffener scallop. One shape for the joint: CIRC is the round scallop, RECT the square clip. A circle reads only the first size, so both cells carry it and the shape cell alone decides.</t>
  </si>
  <si>
    <t>round r35, or a 35 square clip</t>
  </si>
  <si>
    <t>HOLE</t>
  </si>
  <si>
    <t>ho.sc</t>
  </si>
  <si>
    <t>CUT  plate  L.X  L.Y  shape  dx dy repeat — one row a level, the repeat putting the same cut at the other flange. Centred ON the corner, so a circle takes a quarter of itself out of it.</t>
  </si>
  <si>
    <t>A level that is switched off keeps its row and sends the cut 9999 away, off the plate entirely: only the overlap is removed, so nothing is. Cutting a switched-off plate to nothing would undefine it.</t>
  </si>
  <si>
    <t>level 1 — both web-side corners, one row</t>
  </si>
  <si>
    <t>CUT</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</si>
  <si>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</si>
  <si>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</si>
  <si>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</si>
  <si>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</si>
  <si>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</si>
  <si>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</si>
  <si>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</si>
  <si>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</si>
  <si>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</si>
  <si>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</si>
  <si>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</si>
  <si>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</si>
  <si>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</si>
  <si>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</si>
  <si>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</si>
  <si>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</si>
  <si>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</si>
  <si>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</si>
  <si>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</si>
  <si>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</si>
  <si>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</si>
  <si>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</si>
  <si>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</si>
  <si>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the far plate is the near one turned 180° — its scalloped edge has to face the web as well, which a repeat cannot do.</t>
  </si>
  <si>
    <t>level 1, the plate this side of the web</t>
  </si>
  <si>
    <t>and the far side, turned so its scallops face the web too</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</si>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</sst>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11" x14ac:dyDescent="0.25">
      <c r="D14" s="5" t="s">
        <v>31</v>
      </c>
      <c r="E14" s="5" t="s">
        <v>32</v>
      </c>
      <c r="F14" s="5" t="s">
        <v>33</v>
      </c>
      <c r="G14" s="5" t="s">
        <v>34</v>
      </c>
      <c r="H14" s="5" t="s">
        <v>35</v>
      </c>
      <c r="I14" s="5" t="s">
        <v>36</v>
      </c>
      <c r="J14" s="5" t="s">
        <v>37</v>
      </c>
      <c r="K14" s="5" t="s">
        <v>38</v>
      </c>
    </row>
    <row r="15" spans="2:11" x14ac:dyDescent="0.25">
      <c r="B15" s="6" t="s">
        <v>39</v>
      </c>
      <c r="D15" s="14" t="s">
        <v>40</v>
      </c>
      <c r="E15" s="8">
        <v>145.5</v>
      </c>
      <c r="F15" s="8">
        <v>145</v>
      </c>
      <c r="G15" s="8">
        <v>270</v>
      </c>
      <c r="H15" s="8">
        <v>12</v>
      </c>
      <c r="I15" s="14" t="s">
        <v>41</v>
      </c>
      <c r="J15" s="8">
        <v>35</v>
      </c>
      <c r="K15" s="8">
        <v>20</v>
      </c>
    </row>
    <row r="16" spans="2:8" x14ac:dyDescent="0.25">
      <c r="B16" s="6" t="s">
        <v>42</v>
      </c>
      <c r="D16" s="14" t="s">
        <v>43</v>
      </c>
      <c r="E16" s="8">
        <v>-145.5</v>
      </c>
      <c r="F16" s="8">
        <v>145</v>
      </c>
      <c r="G16" s="8">
        <v>270</v>
      </c>
      <c r="H16" s="8">
        <v>12</v>
      </c>
    </row>
    <row r="17" spans="2:8" x14ac:dyDescent="0.25">
      <c r="B17" s="15" t="s">
        <v>44</v>
      </c>
      <c r="D17" s="14"/>
      <c r="E17" s="8">
        <v>0</v>
      </c>
      <c r="F17" s="8">
        <v>0</v>
      </c>
      <c r="G17" s="8">
        <v>0</v>
      </c>
      <c r="H17" s="8">
        <v>0</v>
      </c>
    </row>
    <row r="18" spans="2:8" x14ac:dyDescent="0.25">
      <c r="B18" s="15" t="s">
        <v>45</v>
      </c>
      <c r="D18" s="14"/>
      <c r="E18" s="8">
        <v>0</v>
      </c>
      <c r="F18" s="8">
        <v>0</v>
      </c>
      <c r="G18" s="8">
        <v>0</v>
      </c>
      <c r="H18" s="8">
        <v>0</v>
      </c>
    </row>
    <row r="19" spans="2:8" x14ac:dyDescent="0.25">
      <c r="B19" s="15" t="s">
        <v>46</v>
      </c>
      <c r="D19" s="14"/>
      <c r="E19" s="8">
        <v>0</v>
      </c>
      <c r="F19" s="8">
        <v>0</v>
      </c>
      <c r="G19" s="8">
        <v>0</v>
      </c>
      <c r="H19" s="8">
        <v>0</v>
      </c>
    </row>
    <row r="20" spans="2:8" x14ac:dyDescent="0.25">
      <c r="B20" s="15" t="s">
        <v>47</v>
      </c>
      <c r="D20" s="14"/>
      <c r="E20" s="8">
        <v>0</v>
      </c>
      <c r="F20" s="8">
        <v>0</v>
      </c>
      <c r="G20" s="8">
        <v>0</v>
      </c>
      <c r="H20" s="8">
        <v>0</v>
      </c>
    </row>
    <row r="21" spans="2:8" x14ac:dyDescent="0.25">
      <c r="B21" s="15" t="s">
        <v>48</v>
      </c>
      <c r="D21" s="14"/>
      <c r="E21" s="8">
        <v>0</v>
      </c>
      <c r="F21" s="8">
        <v>0</v>
      </c>
      <c r="G21" s="8">
        <v>0</v>
      </c>
      <c r="H21" s="8">
        <v>0</v>
      </c>
    </row>
    <row r="22" spans="2:8" x14ac:dyDescent="0.25">
      <c r="B22" s="15" t="s">
        <v>49</v>
      </c>
      <c r="D22" s="14"/>
      <c r="E22" s="8">
        <v>0</v>
      </c>
      <c r="F22" s="8">
        <v>0</v>
      </c>
      <c r="G22" s="8">
        <v>0</v>
      </c>
      <c r="H22" s="8">
        <v>0</v>
      </c>
    </row>
    <row r="23" spans="2:12" x14ac:dyDescent="0.25">
      <c r="B23" s="12" t="s">
        <v>50</v>
      </c>
      <c r="C23" s="12"/>
      <c r="D23" s="12"/>
      <c r="E23" s="12"/>
      <c r="F23" s="12"/>
      <c r="G23" s="12"/>
      <c r="H23" s="12"/>
      <c r="I23" s="12"/>
      <c r="J23" s="12"/>
      <c r="K23" s="12"/>
      <c r="L23" s="12"/>
    </row>
    <row r="24" spans="2:8" x14ac:dyDescent="0.25">
      <c r="B24" s="11" t="s">
        <v>25</v>
      </c>
      <c r="C24" s="13" t="s">
        <v>51</v>
      </c>
      <c r="D24" s="11" t="str">
        <f>IF(PARAM!$C$6="H",IF($H$15&gt;0,2,0)+IF($H$16&gt;0,2,0)+IF($H$17&gt;0,2,0)+IF($H$18&gt;0,2,0)+IF($H$19&gt;0,2,0)+IF($H$20&gt;0,2,0)+IF($H$21&gt;0,2,0)+IF($H$22&gt;0,2,0),0)&amp;" of 16"</f>
        <v>4 of 16</v>
      </c>
      <c r="E24" s="13" t="s">
        <v>52</v>
      </c>
      <c r="F24" s="11" t="str">
        <f>IF(NOT(PARAM!$C$6="H"),"n/a",IF(MAX($F$15:$F$22)&gt;(PARAM!$F$6-PARAM!$G$6)/2,"too wide",IF(MAX($G$15:$G$22)&gt;PARAM!$E$6-2*PARAM!$H$6,"too deep","ok")))</f>
        <v>ok</v>
      </c>
      <c r="G24" s="13" t="s">
        <v>53</v>
      </c>
      <c r="H24" s="11" t="str">
        <f>ROUND((PARAM!$E$59-PARAM!$H$59)/2,1)&amp;" / "&amp;ROUND((PARAM!$E$60-PARAM!$H$60)/2,1)&amp;" / "&amp;ROUND((PARAM!$E$61-PARAM!$H$61)/2,1)&amp;" / "&amp;ROUND((PARAM!$E$62-PARAM!$H$62)/2,1)</f>
        <v>145.5 / 145.5 / 145.5 / 145.5</v>
      </c>
    </row>
    <row r="26" ht="20" customHeight="1" spans="2:12" x14ac:dyDescent="0.25">
      <c r="B26" s="3" t="s">
        <v>54</v>
      </c>
      <c r="C26" s="4" t="s">
        <v>55</v>
      </c>
      <c r="D26" s="4"/>
      <c r="E26" s="4"/>
      <c r="F26" s="4"/>
      <c r="G26" s="4"/>
      <c r="H26" s="4"/>
      <c r="I26" s="4"/>
      <c r="J26" s="4"/>
      <c r="K26" s="4"/>
      <c r="L26" s="4"/>
    </row>
    <row r="27" spans="5:10" x14ac:dyDescent="0.25">
      <c r="E27" s="5" t="s">
        <v>56</v>
      </c>
      <c r="F27" s="5" t="s">
        <v>16</v>
      </c>
      <c r="G27" s="5" t="s">
        <v>57</v>
      </c>
      <c r="H27" s="5" t="s">
        <v>58</v>
      </c>
      <c r="I27" s="5" t="s">
        <v>59</v>
      </c>
      <c r="J27" s="5" t="s">
        <v>60</v>
      </c>
    </row>
    <row r="28" spans="2:11" x14ac:dyDescent="0.25">
      <c r="B28" s="6" t="s">
        <v>61</v>
      </c>
      <c r="E28" s="7">
        <v>300</v>
      </c>
      <c r="F28" s="7">
        <v>330</v>
      </c>
      <c r="G28" s="7">
        <v>12</v>
      </c>
      <c r="H28" s="16">
        <v>2</v>
      </c>
      <c r="I28" s="7" t="s">
        <v>21</v>
      </c>
      <c r="J28" s="7">
        <v>0</v>
      </c>
      <c r="K28" s="17" t="s">
        <v>62</v>
      </c>
    </row>
    <row r="29" spans="2:11" x14ac:dyDescent="0.25">
      <c r="B29" s="6" t="s">
        <v>63</v>
      </c>
      <c r="E29" s="7">
        <v>110</v>
      </c>
      <c r="F29" s="7">
        <v>330</v>
      </c>
      <c r="G29" s="7">
        <v>10</v>
      </c>
      <c r="H29" s="16">
        <v>4</v>
      </c>
      <c r="I29" s="7" t="s">
        <v>21</v>
      </c>
      <c r="K29" s="17" t="s">
        <v>62</v>
      </c>
    </row>
    <row r="30" spans="2:11" x14ac:dyDescent="0.25">
      <c r="B30" s="6" t="s">
        <v>64</v>
      </c>
      <c r="E30" s="7">
        <v>234</v>
      </c>
      <c r="F30" s="7">
        <v>330</v>
      </c>
      <c r="G30" s="7">
        <v>10</v>
      </c>
      <c r="H30" s="16">
        <v>2</v>
      </c>
      <c r="I30" s="7" t="s">
        <v>21</v>
      </c>
      <c r="K30" s="17" t="s">
        <v>62</v>
      </c>
    </row>
    <row r="31" spans="2:11" x14ac:dyDescent="0.25">
      <c r="B31" s="15" t="s">
        <v>65</v>
      </c>
      <c r="E31" s="18">
        <f>PARAM!$E$6+2*PARAM!$J$31</f>
        <v>420</v>
      </c>
      <c r="F31" s="18">
        <f>PARAM!$F$6+2*PARAM!$J$31</f>
        <v>420</v>
      </c>
      <c r="G31" s="7">
        <v>20</v>
      </c>
      <c r="H31" s="16">
        <v>2</v>
      </c>
      <c r="I31" s="7" t="s">
        <v>21</v>
      </c>
      <c r="J31" s="7">
        <v>60</v>
      </c>
      <c r="K31" s="17" t="s">
        <v>66</v>
      </c>
    </row>
    <row r="32" spans="2:12" x14ac:dyDescent="0.25">
      <c r="B32" s="12" t="s">
        <v>67</v>
      </c>
      <c r="C32" s="12"/>
      <c r="D32" s="12"/>
      <c r="E32" s="12"/>
      <c r="F32" s="12"/>
      <c r="G32" s="12"/>
      <c r="H32" s="12"/>
      <c r="I32" s="12"/>
      <c r="J32" s="12"/>
      <c r="K32" s="12"/>
      <c r="L32" s="12"/>
    </row>
    <row r="33" spans="2:10" x14ac:dyDescent="0.25">
      <c r="B33" s="11" t="s">
        <v>25</v>
      </c>
      <c r="C33" s="13" t="s">
        <v>68</v>
      </c>
      <c r="D33" s="11" t="str">
        <f>IF(PARAM!$C$6="H","cover plates","end plate")</f>
        <v>cover plates</v>
      </c>
      <c r="E33" s="13" t="s">
        <v>69</v>
      </c>
      <c r="F33" s="11">
        <f>ROUND(IF(PARAM!$C$6="H",PARAM!$E$28*PARAM!$F$28*PARAM!$G$28*2+PARAM!$E$29*PARAM!$F$29*PARAM!$G$29*4+PARAM!$E$30*PARAM!$F$30*PARAM!$G$30*2,PARAM!$E$31*PARAM!$F$31*PARAM!$G$31*2)*7.85/1000000,1)</f>
        <v>42.2</v>
      </c>
      <c r="G33" s="13" t="s">
        <v>70</v>
      </c>
      <c r="H33" s="11" t="str">
        <f>IF(PARAM!$C$6="H",IF(AND(PARAM!$E$28&lt;=PARAM!$F$6,PARAM!$E$30&lt;=PARAM!$E$6-2*PARAM!$H$6-2*PARAM!$I$6),"ok",IF(PARAM!$E$28&gt;PARAM!$F$6,"flange plate too wide","web plate too deep")),"n/a")</f>
        <v>ok</v>
      </c>
      <c r="I33" s="13" t="s">
        <v>71</v>
      </c>
      <c r="J33" s="11" t="str">
        <f>IF(NOT(PARAM!$C$6="H"),"two end plates, "&amp;2*PARAM!$G$31&amp;" thick",IF(PARAM!$J$28=0,"bearing — the ends meet",PARAM!$J$28&amp;"mm apart — shim or division plate?"))</f>
        <v>bearing — the ends meet</v>
      </c>
    </row>
    <row r="35" ht="20" customHeight="1" spans="2:12" x14ac:dyDescent="0.25">
      <c r="B35" s="3" t="s">
        <v>72</v>
      </c>
      <c r="C35" s="4" t="s">
        <v>73</v>
      </c>
      <c r="D35" s="4"/>
      <c r="E35" s="4"/>
      <c r="F35" s="4"/>
      <c r="G35" s="4"/>
      <c r="H35" s="4"/>
      <c r="I35" s="4"/>
      <c r="J35" s="4"/>
      <c r="K35" s="4"/>
      <c r="L35" s="4"/>
    </row>
    <row r="36" spans="5:10" x14ac:dyDescent="0.25">
      <c r="E36" s="5" t="s">
        <v>74</v>
      </c>
      <c r="F36" s="5" t="s">
        <v>75</v>
      </c>
      <c r="G36" s="5" t="s">
        <v>76</v>
      </c>
      <c r="H36" s="5" t="s">
        <v>77</v>
      </c>
      <c r="I36" s="5" t="s">
        <v>78</v>
      </c>
      <c r="J36" s="5" t="s">
        <v>79</v>
      </c>
    </row>
    <row r="37" spans="2:10" x14ac:dyDescent="0.25">
      <c r="B37" s="6" t="s">
        <v>80</v>
      </c>
      <c r="E37" s="7">
        <v>16</v>
      </c>
      <c r="F37" s="18">
        <f>PARAM!$E$37+2</f>
        <v>18</v>
      </c>
      <c r="G37" s="7" t="s">
        <v>81</v>
      </c>
      <c r="H37" s="19">
        <f>IF(PARAM!$C$6="H",CEILING(PARAM!$G$28+PARAM!$H$6+PARAM!$G$29+1.1*PARAM!$E$37,5),"—")</f>
        <v>55</v>
      </c>
      <c r="I37" s="19">
        <f>IF(PARAM!$C$6="H",CEILING(PARAM!$G$6+2*PARAM!$G$30+1.1*PARAM!$E$37,5),"—")</f>
        <v>50</v>
      </c>
      <c r="J37" s="19" t="str">
        <f>IF(PARAM!$C$6="H","—",CEILING(2*PARAM!$G$31+1.1*PARAM!$E$37,5))</f>
        <v>—</v>
      </c>
    </row>
    <row r="38" spans="2:10" x14ac:dyDescent="0.25">
      <c r="B38" s="20" t="s">
        <v>82</v>
      </c>
      <c r="E38" s="5" t="s">
        <v>83</v>
      </c>
      <c r="F38" s="5" t="s">
        <v>84</v>
      </c>
      <c r="G38" s="5" t="s">
        <v>85</v>
      </c>
      <c r="H38" s="5" t="s">
        <v>86</v>
      </c>
      <c r="I38" s="5" t="s">
        <v>84</v>
      </c>
      <c r="J38" s="5" t="s">
        <v>85</v>
      </c>
    </row>
    <row r="39" spans="2:10" x14ac:dyDescent="0.25">
      <c r="B39" s="6" t="s">
        <v>87</v>
      </c>
      <c r="E39" s="7">
        <v>4</v>
      </c>
      <c r="F39" s="7">
        <v>70</v>
      </c>
      <c r="G39" s="7">
        <v>45</v>
      </c>
      <c r="H39" s="7">
        <v>4</v>
      </c>
      <c r="I39" s="7">
        <v>100</v>
      </c>
      <c r="J39" s="7">
        <v>40</v>
      </c>
    </row>
    <row r="40" spans="2:10" x14ac:dyDescent="0.25">
      <c r="B40" s="6" t="s">
        <v>88</v>
      </c>
      <c r="E40" s="7">
        <v>4</v>
      </c>
      <c r="F40" s="7">
        <v>60</v>
      </c>
      <c r="G40" s="7">
        <v>45</v>
      </c>
      <c r="H40" s="7">
        <v>3</v>
      </c>
      <c r="I40" s="7">
        <v>0</v>
      </c>
      <c r="J40" s="7">
        <v>40</v>
      </c>
    </row>
    <row r="41" spans="5:9" x14ac:dyDescent="0.25">
      <c r="E41" s="5" t="s">
        <v>89</v>
      </c>
      <c r="F41" s="5" t="s">
        <v>85</v>
      </c>
      <c r="H41" s="5" t="s">
        <v>90</v>
      </c>
      <c r="I41" s="5" t="s">
        <v>85</v>
      </c>
    </row>
    <row r="42" spans="2:9" x14ac:dyDescent="0.25">
      <c r="B42" s="15" t="s">
        <v>65</v>
      </c>
      <c r="E42" s="7">
        <v>3</v>
      </c>
      <c r="F42" s="7">
        <v>30</v>
      </c>
      <c r="H42" s="7">
        <v>3</v>
      </c>
      <c r="I42" s="7">
        <v>30</v>
      </c>
    </row>
    <row r="43" spans="2:12" x14ac:dyDescent="0.25">
      <c r="B43" s="12" t="s">
        <v>91</v>
      </c>
      <c r="C43" s="12"/>
      <c r="D43" s="12"/>
      <c r="E43" s="12"/>
      <c r="F43" s="12"/>
      <c r="G43" s="12"/>
      <c r="H43" s="12"/>
      <c r="I43" s="12"/>
      <c r="J43" s="12"/>
      <c r="K43" s="12"/>
      <c r="L43" s="12"/>
    </row>
    <row r="44" spans="2:8" x14ac:dyDescent="0.25">
      <c r="B44" s="11" t="s">
        <v>25</v>
      </c>
      <c r="C44" s="13" t="s">
        <v>92</v>
      </c>
      <c r="D44" s="11" t="str">
        <f>IF(PARAM!$C$6="H",ROUND((PARAM!$F$28/2-PARAM!$G$39-PARAM!$F$39/2)/(PARAM!$E$39/2-1),1)&amp;" / "&amp;ROUND((PARAM!$E$28/2-PARAM!$J$39-PARAM!$I$39/2)/(PARAM!$H$39/2-1),1),"n/a")</f>
        <v>85 / 60</v>
      </c>
      <c r="E44" s="13" t="s">
        <v>93</v>
      </c>
      <c r="F44" s="11" t="str">
        <f>IF(PARAM!$C$6="H",ROUND((PARAM!$F$30/2-PARAM!$G$40-PARAM!$F$40/2)/(PARAM!$E$40/2-1),1)&amp;" / "&amp;ROUND((PARAM!$E$30-2*PARAM!$J$40-PARAM!$I$40)/(PARAM!$H$40-1),1),"n/a")</f>
        <v>90 / 77</v>
      </c>
      <c r="G44" s="13" t="s">
        <v>94</v>
      </c>
      <c r="H44" s="11" t="str">
        <f>IF(PARAM!$C$6="H",2*PARAM!$E$39*PARAM!$H$39+PARAM!$E$40*PARAM!$H$40,2*PARAM!$E$42+2*MAX(0,PARAM!$H$42-2))&amp;" per splice"</f>
        <v>44 per splice</v>
      </c>
    </row>
    <row r="46" ht="20" customHeight="1" spans="2:12" x14ac:dyDescent="0.25">
      <c r="B46" s="3" t="s">
        <v>95</v>
      </c>
      <c r="C46" s="4" t="s">
        <v>96</v>
      </c>
      <c r="D46" s="4"/>
      <c r="E46" s="4"/>
      <c r="F46" s="4"/>
      <c r="G46" s="4"/>
      <c r="H46" s="4"/>
      <c r="I46" s="4"/>
      <c r="J46" s="4"/>
      <c r="K46" s="4"/>
      <c r="L46" s="4"/>
    </row>
    <row r="47" spans="3:12" x14ac:dyDescent="0.25">
      <c r="C47" s="5" t="s">
        <v>4</v>
      </c>
      <c r="D47" s="5" t="s">
        <v>97</v>
      </c>
      <c r="E47" s="5" t="s">
        <v>98</v>
      </c>
      <c r="F47" s="5" t="s">
        <v>33</v>
      </c>
      <c r="G47" s="5" t="s">
        <v>99</v>
      </c>
      <c r="H47" s="5" t="s">
        <v>35</v>
      </c>
      <c r="I47" s="5" t="s">
        <v>100</v>
      </c>
      <c r="J47" s="5" t="s">
        <v>101</v>
      </c>
      <c r="K47" s="5" t="s">
        <v>102</v>
      </c>
      <c r="L47" s="5" t="s">
        <v>103</v>
      </c>
    </row>
    <row r="48" spans="2:12" x14ac:dyDescent="0.25">
      <c r="B48" s="6" t="s">
        <v>104</v>
      </c>
      <c r="C48" s="7" t="s">
        <v>105</v>
      </c>
      <c r="D48" s="14" t="s">
        <v>106</v>
      </c>
      <c r="E48" s="8">
        <v>0</v>
      </c>
      <c r="F48" s="8">
        <v>230</v>
      </c>
      <c r="G48" s="18">
        <f>K48*(L48-1)+2*J48</f>
        <v>230</v>
      </c>
      <c r="H48" s="8">
        <v>20</v>
      </c>
      <c r="I48" s="8">
        <v>140</v>
      </c>
      <c r="J48" s="8">
        <v>45</v>
      </c>
      <c r="K48" s="8">
        <v>70</v>
      </c>
      <c r="L48" s="8">
        <v>3</v>
      </c>
    </row>
    <row r="49" spans="2:12" x14ac:dyDescent="0.25">
      <c r="B49" s="6" t="s">
        <v>107</v>
      </c>
      <c r="C49" s="7" t="s">
        <v>105</v>
      </c>
      <c r="D49" s="14" t="s">
        <v>108</v>
      </c>
      <c r="E49" s="8">
        <v>0</v>
      </c>
      <c r="F49" s="8">
        <v>230</v>
      </c>
      <c r="G49" s="18">
        <f>K49*(L49-1)+2*J49</f>
        <v>300</v>
      </c>
      <c r="H49" s="8">
        <v>20</v>
      </c>
      <c r="I49" s="8">
        <v>140</v>
      </c>
      <c r="J49" s="8">
        <v>45</v>
      </c>
      <c r="K49" s="8">
        <v>70</v>
      </c>
      <c r="L49" s="8">
        <v>4</v>
      </c>
    </row>
    <row r="50" spans="2:12" x14ac:dyDescent="0.25">
      <c r="B50" s="6" t="s">
        <v>109</v>
      </c>
      <c r="C50" s="7" t="s">
        <v>110</v>
      </c>
      <c r="D50" s="14" t="s">
        <v>111</v>
      </c>
      <c r="E50" s="8">
        <v>10</v>
      </c>
      <c r="F50" s="8">
        <v>140</v>
      </c>
      <c r="G50" s="18">
        <f>K50*(L50-1)+2*J50</f>
        <v>230</v>
      </c>
      <c r="H50" s="8">
        <v>10</v>
      </c>
      <c r="I50" s="8">
        <v>60</v>
      </c>
      <c r="J50" s="8">
        <v>45</v>
      </c>
      <c r="K50" s="8">
        <v>70</v>
      </c>
      <c r="L50" s="8">
        <v>3</v>
      </c>
    </row>
    <row r="51" spans="2:12" x14ac:dyDescent="0.25">
      <c r="B51" s="6" t="s">
        <v>112</v>
      </c>
      <c r="C51" s="7" t="s">
        <v>110</v>
      </c>
      <c r="D51" s="14" t="s">
        <v>113</v>
      </c>
      <c r="E51" s="8">
        <v>10</v>
      </c>
      <c r="F51" s="8">
        <v>140</v>
      </c>
      <c r="G51" s="18">
        <f>K51*(L51-1)+2*J51</f>
        <v>300</v>
      </c>
      <c r="H51" s="8">
        <v>10</v>
      </c>
      <c r="I51" s="8">
        <v>60</v>
      </c>
      <c r="J51" s="8">
        <v>45</v>
      </c>
      <c r="K51" s="8">
        <v>70</v>
      </c>
      <c r="L51" s="8">
        <v>4</v>
      </c>
    </row>
    <row r="52" spans="2:12" x14ac:dyDescent="0.25">
      <c r="B52" s="6" t="s">
        <v>114</v>
      </c>
      <c r="C52" s="7" t="s">
        <v>110</v>
      </c>
      <c r="D52" s="14" t="s">
        <v>115</v>
      </c>
      <c r="E52" s="8">
        <v>10</v>
      </c>
      <c r="F52" s="8">
        <v>120</v>
      </c>
      <c r="G52" s="18">
        <f>K52*(L52-1)+2*J52</f>
        <v>140</v>
      </c>
      <c r="H52" s="8">
        <v>9</v>
      </c>
      <c r="I52" s="8">
        <v>55</v>
      </c>
      <c r="J52" s="8">
        <v>40</v>
      </c>
      <c r="K52" s="8">
        <v>60</v>
      </c>
      <c r="L52" s="8">
        <v>2</v>
      </c>
    </row>
    <row r="53" spans="2:12" x14ac:dyDescent="0.25">
      <c r="B53" s="15" t="s">
        <v>116</v>
      </c>
      <c r="C53" s="7"/>
      <c r="D53" s="14" t="s">
        <v>117</v>
      </c>
      <c r="E53" s="8">
        <v>0</v>
      </c>
      <c r="F53" s="8">
        <v>0</v>
      </c>
      <c r="G53" s="18">
        <f>K53*(L53-1)+2*J53</f>
        <v>0</v>
      </c>
      <c r="H53" s="8">
        <v>0</v>
      </c>
      <c r="I53" s="8">
        <v>0</v>
      </c>
      <c r="J53" s="8">
        <v>0</v>
      </c>
      <c r="K53" s="8">
        <v>0</v>
      </c>
      <c r="L53" s="8">
        <v>0</v>
      </c>
    </row>
    <row r="54" spans="2:12" x14ac:dyDescent="0.25">
      <c r="B54" s="12" t="s">
        <v>118</v>
      </c>
      <c r="C54" s="12"/>
      <c r="D54" s="12"/>
      <c r="E54" s="12"/>
      <c r="F54" s="12"/>
      <c r="G54" s="12"/>
      <c r="H54" s="12"/>
      <c r="I54" s="12"/>
      <c r="J54" s="12"/>
      <c r="K54" s="12"/>
      <c r="L54" s="12"/>
    </row>
    <row r="55" spans="2:10" x14ac:dyDescent="0.25">
      <c r="B55" s="11" t="s">
        <v>25</v>
      </c>
      <c r="C55" s="13" t="s">
        <v>119</v>
      </c>
      <c r="D55" s="11" t="str">
        <f>IF(COUNTIF(PARAM!$B$48:$B$53,PARAM!$C$59)+COUNTIF(PARAM!$B$48:$B$53,PARAM!$C$60)+COUNTIF(PARAM!$B$48:$B$53,PARAM!$C$61)+COUNTIF(PARAM!$B$48:$B$53,PARAM!$C$62)=4,"all 4 beams found theirs","a beam names a mark that is not in the list")</f>
        <v>all 4 beams found theirs</v>
      </c>
      <c r="E55" s="13" t="s">
        <v>120</v>
      </c>
      <c r="F55" s="11" t="str">
        <f>IF(NOT(PARAM!$C$6="H"),"n/a",IF(SUMPRODUCT(MAX((PARAM!$C$48:$C$53="end plate")*(PARAM!$F$48:$F$53)))&lt;=PARAM!$E$6-2*PARAM!$H$6-2*PARAM!$I$6,"fits between the flanges","hits the flanges on a web face"))</f>
        <v>fits between the flanges</v>
      </c>
      <c r="G55" s="13" t="s">
        <v>121</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122</v>
      </c>
      <c r="J55" s="11" t="str">
        <f>IF(NOT(PARAM!$C$6="H"),"n/a",IF(MOD(PARAM!$J$6,180)=0,IF(MAX(PARAM!$F$61,PARAM!$F$62)&lt;=PARAM!$E$6-2*PARAM!$H$6-2*PARAM!$I$6,"ok","strip the beam flange"),IF(MAX(PARAM!$F$59,PARAM!$F$60)&lt;=PARAM!$E$6-2*PARAM!$H$6-2*PARAM!$I$6,"ok","strip the beam flange")))</f>
        <v>ok</v>
      </c>
    </row>
    <row r="57" ht="20" customHeight="1" spans="2:12" x14ac:dyDescent="0.25">
      <c r="B57" s="3" t="s">
        <v>123</v>
      </c>
      <c r="C57" s="4" t="s">
        <v>124</v>
      </c>
      <c r="D57" s="4"/>
      <c r="E57" s="4"/>
      <c r="F57" s="4"/>
      <c r="G57" s="4"/>
      <c r="H57" s="4"/>
      <c r="I57" s="4"/>
      <c r="J57" s="4"/>
      <c r="K57" s="4"/>
      <c r="L57" s="4"/>
    </row>
    <row r="58" spans="3:11" x14ac:dyDescent="0.25">
      <c r="C58" s="5" t="s">
        <v>125</v>
      </c>
      <c r="D58" s="5" t="s">
        <v>5</v>
      </c>
      <c r="E58" s="5" t="s">
        <v>6</v>
      </c>
      <c r="F58" s="5" t="s">
        <v>7</v>
      </c>
      <c r="G58" s="5" t="s">
        <v>126</v>
      </c>
      <c r="H58" s="5" t="s">
        <v>9</v>
      </c>
      <c r="I58" s="5" t="s">
        <v>10</v>
      </c>
      <c r="J58" s="5" t="s">
        <v>16</v>
      </c>
      <c r="K58" s="5" t="s">
        <v>12</v>
      </c>
    </row>
    <row r="59" spans="2:11" x14ac:dyDescent="0.25">
      <c r="B59" s="6" t="s">
        <v>127</v>
      </c>
      <c r="C59" s="7" t="s">
        <v>104</v>
      </c>
      <c r="D59" s="7" t="s">
        <v>128</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129</v>
      </c>
      <c r="C60" s="7" t="s">
        <v>109</v>
      </c>
      <c r="D60" s="7" t="s">
        <v>128</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130</v>
      </c>
      <c r="C61" s="7" t="s">
        <v>109</v>
      </c>
      <c r="D61" s="7" t="s">
        <v>128</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131</v>
      </c>
      <c r="C62" s="7" t="s">
        <v>109</v>
      </c>
      <c r="D62" s="7" t="s">
        <v>128</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132</v>
      </c>
      <c r="C63" s="12"/>
      <c r="D63" s="12"/>
      <c r="E63" s="12"/>
      <c r="F63" s="12"/>
      <c r="G63" s="12"/>
      <c r="H63" s="12"/>
      <c r="I63" s="12"/>
      <c r="J63" s="12"/>
      <c r="K63" s="12"/>
      <c r="L63" s="12"/>
    </row>
    <row r="64" spans="2:8" x14ac:dyDescent="0.25">
      <c r="B64" s="11" t="s">
        <v>25</v>
      </c>
      <c r="C64" s="13" t="s">
        <v>133</v>
      </c>
      <c r="D64" s="11" t="str">
        <f>IF(PARAM!$C$6="H",IF(MOD(PARAM!$J$6,180)=0,"flange","web"),"tube wall")</f>
        <v>flange</v>
      </c>
      <c r="E64" s="13" t="s">
        <v>134</v>
      </c>
      <c r="F64" s="11" t="str">
        <f>IF(PARAM!$C$6="H",IF(MOD(PARAM!$J$6,180)=0,"web","flange"),"tube wall")</f>
        <v>web</v>
      </c>
      <c r="G64" s="13" t="s">
        <v>135</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2"/>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136</v>
      </c>
    </row>
    <row r="2" spans="2:3" x14ac:dyDescent="0.25">
      <c r="B2" s="21" t="s">
        <v>137</v>
      </c>
      <c r="C2" s="22" t="s">
        <v>138</v>
      </c>
    </row>
    <row r="4" spans="1:1" x14ac:dyDescent="0.25">
      <c r="A4" s="12" t="s">
        <v>139</v>
      </c>
    </row>
    <row r="5" spans="1:1" x14ac:dyDescent="0.25">
      <c r="A5" s="12" t="s">
        <v>140</v>
      </c>
    </row>
    <row r="6" spans="1:14" x14ac:dyDescent="0.25">
      <c r="A6" s="12" t="s">
        <v>17</v>
      </c>
      <c r="B6" s="21" t="s">
        <v>141</v>
      </c>
      <c r="C6" s="22" t="s">
        <v>142</v>
      </c>
      <c r="D6" s="22" t="str">
        <f>PARAM!$C$8</f>
        <v>SS275</v>
      </c>
      <c r="E6" s="22">
        <f>MAX(1,PARAM!$E$7)</f>
        <v>700</v>
      </c>
      <c r="F6" s="22" t="str">
        <f>IF(PARAM!$C$6="H","H","R")</f>
        <v>H</v>
      </c>
      <c r="G6" s="22" t="s">
        <v>143</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141</v>
      </c>
      <c r="C7" s="22" t="s">
        <v>144</v>
      </c>
      <c r="D7" s="22" t="str">
        <f>PARAM!$C$8</f>
        <v>SS275</v>
      </c>
      <c r="E7" s="22">
        <f>MAX(1,PARAM!$G$7)</f>
        <v>1400</v>
      </c>
      <c r="F7" s="22" t="str">
        <f>IF(PARAM!$C$6="H","H","R")</f>
        <v>H</v>
      </c>
      <c r="G7" s="22" t="s">
        <v>143</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141</v>
      </c>
      <c r="C8" s="22" t="s">
        <v>145</v>
      </c>
      <c r="D8" s="22" t="str">
        <f>PARAM!$C$8</f>
        <v>SS275</v>
      </c>
      <c r="E8" s="22">
        <f>MAX(1,PARAM!$I$7)</f>
        <v>700</v>
      </c>
      <c r="F8" s="22" t="str">
        <f>IF(PARAM!$C$6="H","H","R")</f>
        <v>H</v>
      </c>
      <c r="G8" s="22" t="s">
        <v>143</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146</v>
      </c>
    </row>
    <row r="11" spans="1:9" x14ac:dyDescent="0.25">
      <c r="A11" s="12" t="s">
        <v>147</v>
      </c>
      <c r="B11" s="21" t="s">
        <v>148</v>
      </c>
      <c r="C11" s="22" t="s">
        <v>149</v>
      </c>
      <c r="D11" s="22" t="str">
        <f>PARAM!$C$8</f>
        <v>SS275</v>
      </c>
      <c r="E11" s="22">
        <f>IF(PARAM!$C$6="H",PARAM!$G$28,PARAM!$G$31)</f>
        <v>12</v>
      </c>
      <c r="F11" s="22" t="s">
        <v>150</v>
      </c>
      <c r="G11" s="22" t="s">
        <v>143</v>
      </c>
      <c r="H11" s="22">
        <f>IF(PARAM!$C$6="H",PARAM!$E$28,PARAM!$E$31)</f>
        <v>300</v>
      </c>
      <c r="I11" s="22">
        <f>IF(PARAM!$C$6="H",PARAM!$F$28,PARAM!$F$31)</f>
        <v>330</v>
      </c>
    </row>
    <row r="12" spans="1:9" x14ac:dyDescent="0.25">
      <c r="A12" s="12" t="s">
        <v>151</v>
      </c>
      <c r="B12" s="21" t="s">
        <v>148</v>
      </c>
      <c r="C12" s="22" t="s">
        <v>152</v>
      </c>
      <c r="D12" s="22" t="str">
        <f>PARAM!$C$8</f>
        <v>SS275</v>
      </c>
      <c r="E12" s="22">
        <f>PARAM!$G$29</f>
        <v>10</v>
      </c>
      <c r="F12" s="22" t="s">
        <v>150</v>
      </c>
      <c r="G12" s="22" t="s">
        <v>143</v>
      </c>
      <c r="H12" s="22">
        <f>PARAM!$E$29</f>
        <v>110</v>
      </c>
      <c r="I12" s="22">
        <f>PARAM!$F$29</f>
        <v>330</v>
      </c>
    </row>
    <row r="13" spans="1:9" x14ac:dyDescent="0.25">
      <c r="A13" s="12" t="s">
        <v>153</v>
      </c>
      <c r="B13" s="21" t="s">
        <v>148</v>
      </c>
      <c r="C13" s="22" t="s">
        <v>154</v>
      </c>
      <c r="D13" s="22" t="str">
        <f>PARAM!$C$8</f>
        <v>SS275</v>
      </c>
      <c r="E13" s="22">
        <f>PARAM!$G$30</f>
        <v>10</v>
      </c>
      <c r="F13" s="22" t="s">
        <v>150</v>
      </c>
      <c r="G13" s="22" t="s">
        <v>143</v>
      </c>
      <c r="H13" s="22">
        <f>PARAM!$E$30</f>
        <v>234</v>
      </c>
      <c r="I13" s="22">
        <f>PARAM!$F$30</f>
        <v>330</v>
      </c>
    </row>
    <row r="14" spans="1:12" x14ac:dyDescent="0.25">
      <c r="A14" s="12" t="s">
        <v>155</v>
      </c>
      <c r="B14" s="21" t="s">
        <v>156</v>
      </c>
      <c r="C14" s="22" t="s">
        <v>157</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158</v>
      </c>
      <c r="B15" s="21" t="s">
        <v>156</v>
      </c>
      <c r="C15" s="22" t="s">
        <v>159</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160</v>
      </c>
    </row>
    <row r="18" spans="1:1" x14ac:dyDescent="0.25">
      <c r="A18" s="12" t="s">
        <v>161</v>
      </c>
    </row>
    <row r="19" spans="1:9" x14ac:dyDescent="0.25">
      <c r="A19" s="12" t="s">
        <v>162</v>
      </c>
      <c r="B19" s="21" t="s">
        <v>148</v>
      </c>
      <c r="C19" s="22" t="s">
        <v>163</v>
      </c>
      <c r="D19" s="22" t="str">
        <f>PARAM!$C$8</f>
        <v>SS275</v>
      </c>
      <c r="E19" s="22">
        <f>MAX(1,PARAM!$H$15)</f>
        <v>12</v>
      </c>
      <c r="F19" s="22" t="s">
        <v>150</v>
      </c>
      <c r="G19" s="22" t="s">
        <v>143</v>
      </c>
      <c r="H19" s="22">
        <f>MAX(1,PARAM!$G$15)</f>
        <v>270</v>
      </c>
      <c r="I19" s="22">
        <f>MAX(1,PARAM!$F$15)</f>
        <v>145</v>
      </c>
    </row>
    <row r="20" spans="2:9" x14ac:dyDescent="0.25">
      <c r="B20" s="21" t="s">
        <v>148</v>
      </c>
      <c r="C20" s="22" t="s">
        <v>164</v>
      </c>
      <c r="D20" s="22" t="str">
        <f>PARAM!$C$8</f>
        <v>SS275</v>
      </c>
      <c r="E20" s="22">
        <f>MAX(1,PARAM!$H$16)</f>
        <v>12</v>
      </c>
      <c r="F20" s="22" t="s">
        <v>150</v>
      </c>
      <c r="G20" s="22" t="s">
        <v>143</v>
      </c>
      <c r="H20" s="22">
        <f>MAX(1,PARAM!$G$16)</f>
        <v>270</v>
      </c>
      <c r="I20" s="22">
        <f>MAX(1,PARAM!$F$16)</f>
        <v>145</v>
      </c>
    </row>
    <row r="21" spans="2:9" x14ac:dyDescent="0.25">
      <c r="B21" s="21" t="s">
        <v>148</v>
      </c>
      <c r="C21" s="22" t="s">
        <v>165</v>
      </c>
      <c r="D21" s="22" t="str">
        <f>PARAM!$C$8</f>
        <v>SS275</v>
      </c>
      <c r="E21" s="22">
        <f>MAX(1,PARAM!$H$17)</f>
        <v>1</v>
      </c>
      <c r="F21" s="22" t="s">
        <v>150</v>
      </c>
      <c r="G21" s="22" t="s">
        <v>143</v>
      </c>
      <c r="H21" s="22">
        <f>MAX(1,PARAM!$G$17)</f>
        <v>1</v>
      </c>
      <c r="I21" s="22">
        <f>MAX(1,PARAM!$F$17)</f>
        <v>1</v>
      </c>
    </row>
    <row r="22" spans="2:9" x14ac:dyDescent="0.25">
      <c r="B22" s="21" t="s">
        <v>148</v>
      </c>
      <c r="C22" s="22" t="s">
        <v>166</v>
      </c>
      <c r="D22" s="22" t="str">
        <f>PARAM!$C$8</f>
        <v>SS275</v>
      </c>
      <c r="E22" s="22">
        <f>MAX(1,PARAM!$H$18)</f>
        <v>1</v>
      </c>
      <c r="F22" s="22" t="s">
        <v>150</v>
      </c>
      <c r="G22" s="22" t="s">
        <v>143</v>
      </c>
      <c r="H22" s="22">
        <f>MAX(1,PARAM!$G$18)</f>
        <v>1</v>
      </c>
      <c r="I22" s="22">
        <f>MAX(1,PARAM!$F$18)</f>
        <v>1</v>
      </c>
    </row>
    <row r="23" spans="2:9" x14ac:dyDescent="0.25">
      <c r="B23" s="21" t="s">
        <v>148</v>
      </c>
      <c r="C23" s="22" t="s">
        <v>167</v>
      </c>
      <c r="D23" s="22" t="str">
        <f>PARAM!$C$8</f>
        <v>SS275</v>
      </c>
      <c r="E23" s="22">
        <f>MAX(1,PARAM!$H$19)</f>
        <v>1</v>
      </c>
      <c r="F23" s="22" t="s">
        <v>150</v>
      </c>
      <c r="G23" s="22" t="s">
        <v>143</v>
      </c>
      <c r="H23" s="22">
        <f>MAX(1,PARAM!$G$19)</f>
        <v>1</v>
      </c>
      <c r="I23" s="22">
        <f>MAX(1,PARAM!$F$19)</f>
        <v>1</v>
      </c>
    </row>
    <row r="24" spans="2:9" x14ac:dyDescent="0.25">
      <c r="B24" s="21" t="s">
        <v>148</v>
      </c>
      <c r="C24" s="22" t="s">
        <v>168</v>
      </c>
      <c r="D24" s="22" t="str">
        <f>PARAM!$C$8</f>
        <v>SS275</v>
      </c>
      <c r="E24" s="22">
        <f>MAX(1,PARAM!$H$20)</f>
        <v>1</v>
      </c>
      <c r="F24" s="22" t="s">
        <v>150</v>
      </c>
      <c r="G24" s="22" t="s">
        <v>143</v>
      </c>
      <c r="H24" s="22">
        <f>MAX(1,PARAM!$G$20)</f>
        <v>1</v>
      </c>
      <c r="I24" s="22">
        <f>MAX(1,PARAM!$F$20)</f>
        <v>1</v>
      </c>
    </row>
    <row r="25" spans="2:9" x14ac:dyDescent="0.25">
      <c r="B25" s="21" t="s">
        <v>148</v>
      </c>
      <c r="C25" s="22" t="s">
        <v>169</v>
      </c>
      <c r="D25" s="22" t="str">
        <f>PARAM!$C$8</f>
        <v>SS275</v>
      </c>
      <c r="E25" s="22">
        <f>MAX(1,PARAM!$H$21)</f>
        <v>1</v>
      </c>
      <c r="F25" s="22" t="s">
        <v>150</v>
      </c>
      <c r="G25" s="22" t="s">
        <v>143</v>
      </c>
      <c r="H25" s="22">
        <f>MAX(1,PARAM!$G$21)</f>
        <v>1</v>
      </c>
      <c r="I25" s="22">
        <f>MAX(1,PARAM!$F$21)</f>
        <v>1</v>
      </c>
    </row>
    <row r="26" spans="2:9" x14ac:dyDescent="0.25">
      <c r="B26" s="21" t="s">
        <v>148</v>
      </c>
      <c r="C26" s="22" t="s">
        <v>170</v>
      </c>
      <c r="D26" s="22" t="str">
        <f>PARAM!$C$8</f>
        <v>SS275</v>
      </c>
      <c r="E26" s="22">
        <f>MAX(1,PARAM!$H$22)</f>
        <v>1</v>
      </c>
      <c r="F26" s="22" t="s">
        <v>150</v>
      </c>
      <c r="G26" s="22" t="s">
        <v>143</v>
      </c>
      <c r="H26" s="22">
        <f>MAX(1,PARAM!$G$22)</f>
        <v>1</v>
      </c>
      <c r="I26" s="22">
        <f>MAX(1,PARAM!$F$22)</f>
        <v>1</v>
      </c>
    </row>
    <row r="28" spans="1:1" x14ac:dyDescent="0.25">
      <c r="A28" s="12" t="s">
        <v>171</v>
      </c>
    </row>
    <row r="29" spans="1:7" x14ac:dyDescent="0.25">
      <c r="A29" s="12" t="s">
        <v>172</v>
      </c>
      <c r="B29" s="21" t="s">
        <v>173</v>
      </c>
      <c r="C29" s="22" t="s">
        <v>174</v>
      </c>
      <c r="D29" s="22" t="str">
        <f>IF(PARAM!$I$15="S","RECT","CIRC")</f>
        <v>CIRC</v>
      </c>
      <c r="E29" s="22" t="s">
        <v>143</v>
      </c>
      <c r="F29" s="22">
        <f>2*PARAM!$J$15</f>
        <v>70</v>
      </c>
      <c r="G29" s="22">
        <f>2*PARAM!$J$15</f>
        <v>70</v>
      </c>
    </row>
    <row r="30" spans="1:1" x14ac:dyDescent="0.25">
      <c r="A30" s="12" t="s">
        <v>175</v>
      </c>
    </row>
    <row r="31" spans="1:1" x14ac:dyDescent="0.25">
      <c r="A31" s="12" t="s">
        <v>176</v>
      </c>
    </row>
    <row r="32" spans="1:9" x14ac:dyDescent="0.25">
      <c r="A32" s="12" t="s">
        <v>177</v>
      </c>
      <c r="B32" s="21" t="s">
        <v>178</v>
      </c>
      <c r="C32" s="22" t="s">
        <v>163</v>
      </c>
      <c r="D32" s="22">
        <f>IF(AND(PARAM!$C$6="H",PARAM!$H$15&gt;0),MAX(1,PARAM!$G$15)/2,9999)</f>
        <v>135</v>
      </c>
      <c r="E32" s="22">
        <f>MAX(1,PARAM!$F$15)/2</f>
        <v>72.5</v>
      </c>
      <c r="F32" s="22" t="s">
        <v>174</v>
      </c>
      <c r="G32" s="22">
        <f>-MAX(1,PARAM!$G$15)</f>
        <v>-270</v>
      </c>
      <c r="H32" s="22">
        <v>0</v>
      </c>
      <c r="I32" s="22">
        <v>1</v>
      </c>
    </row>
    <row r="33" spans="2:9" x14ac:dyDescent="0.25">
      <c r="B33" s="21" t="s">
        <v>178</v>
      </c>
      <c r="C33" s="22" t="s">
        <v>164</v>
      </c>
      <c r="D33" s="22">
        <f>IF(AND(PARAM!$C$6="H",PARAM!$H$16&gt;0),MAX(1,PARAM!$G$16)/2,9999)</f>
        <v>135</v>
      </c>
      <c r="E33" s="22">
        <f>MAX(1,PARAM!$F$16)/2</f>
        <v>72.5</v>
      </c>
      <c r="F33" s="22" t="s">
        <v>174</v>
      </c>
      <c r="G33" s="22">
        <f>-MAX(1,PARAM!$G$16)</f>
        <v>-270</v>
      </c>
      <c r="H33" s="22">
        <v>0</v>
      </c>
      <c r="I33" s="22">
        <v>1</v>
      </c>
    </row>
    <row r="34" spans="2:9" x14ac:dyDescent="0.25">
      <c r="B34" s="21" t="s">
        <v>178</v>
      </c>
      <c r="C34" s="22" t="s">
        <v>165</v>
      </c>
      <c r="D34" s="22">
        <f>IF(AND(PARAM!$C$6="H",PARAM!$H$17&gt;0),MAX(1,PARAM!$G$17)/2,9999)</f>
        <v>9999</v>
      </c>
      <c r="E34" s="22">
        <f>MAX(1,PARAM!$F$17)/2</f>
        <v>0.5</v>
      </c>
      <c r="F34" s="22" t="s">
        <v>174</v>
      </c>
      <c r="G34" s="22">
        <f>-MAX(1,PARAM!$G$17)</f>
        <v>-1</v>
      </c>
      <c r="H34" s="22">
        <v>0</v>
      </c>
      <c r="I34" s="22">
        <v>1</v>
      </c>
    </row>
    <row r="35" spans="2:9" x14ac:dyDescent="0.25">
      <c r="B35" s="21" t="s">
        <v>178</v>
      </c>
      <c r="C35" s="22" t="s">
        <v>166</v>
      </c>
      <c r="D35" s="22">
        <f>IF(AND(PARAM!$C$6="H",PARAM!$H$18&gt;0),MAX(1,PARAM!$G$18)/2,9999)</f>
        <v>9999</v>
      </c>
      <c r="E35" s="22">
        <f>MAX(1,PARAM!$F$18)/2</f>
        <v>0.5</v>
      </c>
      <c r="F35" s="22" t="s">
        <v>174</v>
      </c>
      <c r="G35" s="22">
        <f>-MAX(1,PARAM!$G$18)</f>
        <v>-1</v>
      </c>
      <c r="H35" s="22">
        <v>0</v>
      </c>
      <c r="I35" s="22">
        <v>1</v>
      </c>
    </row>
    <row r="36" spans="2:9" x14ac:dyDescent="0.25">
      <c r="B36" s="21" t="s">
        <v>178</v>
      </c>
      <c r="C36" s="22" t="s">
        <v>167</v>
      </c>
      <c r="D36" s="22">
        <f>IF(AND(PARAM!$C$6="H",PARAM!$H$19&gt;0),MAX(1,PARAM!$G$19)/2,9999)</f>
        <v>9999</v>
      </c>
      <c r="E36" s="22">
        <f>MAX(1,PARAM!$F$19)/2</f>
        <v>0.5</v>
      </c>
      <c r="F36" s="22" t="s">
        <v>174</v>
      </c>
      <c r="G36" s="22">
        <f>-MAX(1,PARAM!$G$19)</f>
        <v>-1</v>
      </c>
      <c r="H36" s="22">
        <v>0</v>
      </c>
      <c r="I36" s="22">
        <v>1</v>
      </c>
    </row>
    <row r="37" spans="2:9" x14ac:dyDescent="0.25">
      <c r="B37" s="21" t="s">
        <v>178</v>
      </c>
      <c r="C37" s="22" t="s">
        <v>168</v>
      </c>
      <c r="D37" s="22">
        <f>IF(AND(PARAM!$C$6="H",PARAM!$H$20&gt;0),MAX(1,PARAM!$G$20)/2,9999)</f>
        <v>9999</v>
      </c>
      <c r="E37" s="22">
        <f>MAX(1,PARAM!$F$20)/2</f>
        <v>0.5</v>
      </c>
      <c r="F37" s="22" t="s">
        <v>174</v>
      </c>
      <c r="G37" s="22">
        <f>-MAX(1,PARAM!$G$20)</f>
        <v>-1</v>
      </c>
      <c r="H37" s="22">
        <v>0</v>
      </c>
      <c r="I37" s="22">
        <v>1</v>
      </c>
    </row>
    <row r="38" spans="2:9" x14ac:dyDescent="0.25">
      <c r="B38" s="21" t="s">
        <v>178</v>
      </c>
      <c r="C38" s="22" t="s">
        <v>169</v>
      </c>
      <c r="D38" s="22">
        <f>IF(AND(PARAM!$C$6="H",PARAM!$H$21&gt;0),MAX(1,PARAM!$G$21)/2,9999)</f>
        <v>9999</v>
      </c>
      <c r="E38" s="22">
        <f>MAX(1,PARAM!$F$21)/2</f>
        <v>0.5</v>
      </c>
      <c r="F38" s="22" t="s">
        <v>174</v>
      </c>
      <c r="G38" s="22">
        <f>-MAX(1,PARAM!$G$21)</f>
        <v>-1</v>
      </c>
      <c r="H38" s="22">
        <v>0</v>
      </c>
      <c r="I38" s="22">
        <v>1</v>
      </c>
    </row>
    <row r="39" spans="2:9" x14ac:dyDescent="0.25">
      <c r="B39" s="21" t="s">
        <v>178</v>
      </c>
      <c r="C39" s="22" t="s">
        <v>170</v>
      </c>
      <c r="D39" s="22">
        <f>IF(AND(PARAM!$C$6="H",PARAM!$H$22&gt;0),MAX(1,PARAM!$G$22)/2,9999)</f>
        <v>9999</v>
      </c>
      <c r="E39" s="22">
        <f>MAX(1,PARAM!$F$22)/2</f>
        <v>0.5</v>
      </c>
      <c r="F39" s="22" t="s">
        <v>174</v>
      </c>
      <c r="G39" s="22">
        <f>-MAX(1,PARAM!$G$22)</f>
        <v>-1</v>
      </c>
      <c r="H39" s="22">
        <v>0</v>
      </c>
      <c r="I39" s="22">
        <v>1</v>
      </c>
    </row>
    <row r="41" spans="1:1" x14ac:dyDescent="0.25">
      <c r="A41" s="12" t="s">
        <v>179</v>
      </c>
    </row>
    <row r="42" spans="1:1" x14ac:dyDescent="0.25">
      <c r="A42" s="12" t="s">
        <v>180</v>
      </c>
    </row>
    <row r="43" spans="1:12" x14ac:dyDescent="0.25">
      <c r="A43" s="12" t="s">
        <v>181</v>
      </c>
      <c r="B43" s="21" t="s">
        <v>182</v>
      </c>
      <c r="C43" s="22" t="s">
        <v>183</v>
      </c>
      <c r="D43" s="22" t="str">
        <f>IF(PARAM!$E$7&gt;0,"sc.c1","")</f>
        <v>sc.c1</v>
      </c>
      <c r="E43" s="22"/>
      <c r="F43" s="22">
        <v>0</v>
      </c>
      <c r="G43" s="22">
        <v>0</v>
      </c>
      <c r="H43" s="22">
        <v>0</v>
      </c>
      <c r="I43" s="22" t="s">
        <v>184</v>
      </c>
      <c r="J43" s="22">
        <v>0</v>
      </c>
      <c r="K43" s="22">
        <v>0</v>
      </c>
      <c r="L43" s="22">
        <v>90</v>
      </c>
    </row>
    <row r="44" spans="2:6" x14ac:dyDescent="0.25">
      <c r="B44" s="21" t="s">
        <v>182</v>
      </c>
      <c r="C44" s="22" t="s">
        <v>183</v>
      </c>
      <c r="D44" s="22" t="s">
        <v>185</v>
      </c>
      <c r="E44" s="22" t="s">
        <v>142</v>
      </c>
      <c r="F44" s="22" t="s">
        <v>143</v>
      </c>
    </row>
    <row r="45" spans="2:12" x14ac:dyDescent="0.25">
      <c r="B45" s="21" t="s">
        <v>182</v>
      </c>
      <c r="C45" s="22" t="s">
        <v>186</v>
      </c>
      <c r="D45" s="22" t="str">
        <f>"sc.c2"</f>
        <v>sc.c2</v>
      </c>
      <c r="E45" s="22"/>
      <c r="F45" s="22">
        <v>0</v>
      </c>
      <c r="G45" s="22">
        <v>0</v>
      </c>
      <c r="H45" s="22">
        <v>0</v>
      </c>
      <c r="I45" s="22" t="s">
        <v>184</v>
      </c>
      <c r="J45" s="22">
        <v>0</v>
      </c>
      <c r="K45" s="22">
        <v>0</v>
      </c>
      <c r="L45" s="22">
        <v>90</v>
      </c>
    </row>
    <row r="46" spans="2:6" x14ac:dyDescent="0.25">
      <c r="B46" s="21" t="s">
        <v>182</v>
      </c>
      <c r="C46" s="22" t="s">
        <v>186</v>
      </c>
      <c r="D46" s="22" t="s">
        <v>185</v>
      </c>
      <c r="E46" s="22" t="s">
        <v>144</v>
      </c>
      <c r="F46" s="22" t="s">
        <v>143</v>
      </c>
    </row>
    <row r="47" spans="2:12" x14ac:dyDescent="0.25">
      <c r="B47" s="21" t="s">
        <v>182</v>
      </c>
      <c r="C47" s="22" t="s">
        <v>187</v>
      </c>
      <c r="D47" s="22" t="str">
        <f>IF(PARAM!$I$7&gt;0,"sc.c3","")</f>
        <v>sc.c3</v>
      </c>
      <c r="E47" s="22"/>
      <c r="F47" s="22">
        <v>0</v>
      </c>
      <c r="G47" s="22">
        <v>0</v>
      </c>
      <c r="H47" s="22">
        <v>0</v>
      </c>
      <c r="I47" s="22" t="s">
        <v>184</v>
      </c>
      <c r="J47" s="22">
        <v>0</v>
      </c>
      <c r="K47" s="22">
        <v>0</v>
      </c>
      <c r="L47" s="22">
        <v>90</v>
      </c>
    </row>
    <row r="48" spans="2:6" x14ac:dyDescent="0.25">
      <c r="B48" s="21" t="s">
        <v>182</v>
      </c>
      <c r="C48" s="22" t="s">
        <v>187</v>
      </c>
      <c r="D48" s="22" t="s">
        <v>185</v>
      </c>
      <c r="E48" s="22" t="s">
        <v>145</v>
      </c>
      <c r="F48" s="22" t="s">
        <v>143</v>
      </c>
    </row>
    <row r="50" spans="1:1" x14ac:dyDescent="0.25">
      <c r="A50" s="12" t="s">
        <v>188</v>
      </c>
    </row>
    <row r="51" spans="1:9" x14ac:dyDescent="0.25">
      <c r="A51" s="12" t="s">
        <v>189</v>
      </c>
      <c r="B51" s="21" t="s">
        <v>182</v>
      </c>
      <c r="C51" s="22" t="s">
        <v>190</v>
      </c>
      <c r="D51" s="22" t="str">
        <f>IF(PARAM!$E$7&gt;0,"pl.fo","")</f>
        <v>pl.fo</v>
      </c>
      <c r="E51" s="22" t="s">
        <v>143</v>
      </c>
      <c r="F51" s="22">
        <f>IF(PARAM!$C$6="H",((PARAM!$E$6/2+PARAM!$G$28/2)),0)</f>
        <v>156</v>
      </c>
      <c r="G51" s="22">
        <v>0</v>
      </c>
      <c r="H51" s="22">
        <f>IF(PARAM!$C$6="H",0,(PARAM!$G$31/2))</f>
        <v>0</v>
      </c>
      <c r="I51" s="22" t="str">
        <f>IF(PARAM!$C$6="H","YZ","XY")</f>
        <v>YZ</v>
      </c>
    </row>
    <row r="52" spans="2:9" x14ac:dyDescent="0.25">
      <c r="B52" s="21" t="s">
        <v>182</v>
      </c>
      <c r="C52" s="22" t="s">
        <v>190</v>
      </c>
      <c r="D52" s="22" t="str">
        <f>IF(PARAM!$E$7&gt;0,"pl.fo","")</f>
        <v>pl.fo</v>
      </c>
      <c r="E52" s="22" t="s">
        <v>143</v>
      </c>
      <c r="F52" s="22">
        <f>IF(PARAM!$C$6="H",-((PARAM!$E$6/2+PARAM!$G$28/2)),0)</f>
        <v>-156</v>
      </c>
      <c r="G52" s="22">
        <v>0</v>
      </c>
      <c r="H52" s="22">
        <f>IF(PARAM!$C$6="H",0,-(PARAM!$G$31/2))</f>
        <v>0</v>
      </c>
      <c r="I52" s="22" t="str">
        <f>IF(PARAM!$C$6="H","YZ","XY")</f>
        <v>YZ</v>
      </c>
    </row>
    <row r="53" spans="1:9" x14ac:dyDescent="0.25">
      <c r="A53" s="12" t="s">
        <v>191</v>
      </c>
      <c r="B53" s="21" t="s">
        <v>182</v>
      </c>
      <c r="C53" s="22" t="s">
        <v>190</v>
      </c>
      <c r="D53" s="22" t="str">
        <f>IF(AND(PARAM!$E$7&gt;0,PARAM!$C$6="H"),"pl.fi","")</f>
        <v>pl.fi</v>
      </c>
      <c r="E53" s="22" t="s">
        <v>143</v>
      </c>
      <c r="F53" s="22">
        <f>((PARAM!$E$6/2-PARAM!$H$6-PARAM!$G$29/2))</f>
        <v>130</v>
      </c>
      <c r="G53" s="22">
        <f>((PARAM!$I$39/2+((PARAM!$E$28/2-PARAM!$J$39-PARAM!$I$39/2)/(PARAM!$H$39/2-1))/2))</f>
        <v>80</v>
      </c>
      <c r="H53" s="22">
        <v>0</v>
      </c>
      <c r="I53" s="22" t="s">
        <v>192</v>
      </c>
    </row>
    <row r="54" spans="2:9" x14ac:dyDescent="0.25">
      <c r="B54" s="21" t="s">
        <v>182</v>
      </c>
      <c r="C54" s="22" t="s">
        <v>190</v>
      </c>
      <c r="D54" s="22" t="str">
        <f>IF(AND(PARAM!$E$7&gt;0,PARAM!$C$6="H"),"pl.fi","")</f>
        <v>pl.fi</v>
      </c>
      <c r="E54" s="22" t="s">
        <v>143</v>
      </c>
      <c r="F54" s="22">
        <f>((PARAM!$E$6/2-PARAM!$H$6-PARAM!$G$29/2))</f>
        <v>130</v>
      </c>
      <c r="G54" s="22">
        <f>-((PARAM!$I$39/2+((PARAM!$E$28/2-PARAM!$J$39-PARAM!$I$39/2)/(PARAM!$H$39/2-1))/2))</f>
        <v>-80</v>
      </c>
      <c r="H54" s="22">
        <v>0</v>
      </c>
      <c r="I54" s="22" t="s">
        <v>192</v>
      </c>
    </row>
    <row r="55" spans="2:9" x14ac:dyDescent="0.25">
      <c r="B55" s="21" t="s">
        <v>182</v>
      </c>
      <c r="C55" s="22" t="s">
        <v>190</v>
      </c>
      <c r="D55" s="22" t="str">
        <f>IF(AND(PARAM!$E$7&gt;0,PARAM!$C$6="H"),"pl.fi","")</f>
        <v>pl.fi</v>
      </c>
      <c r="E55" s="22" t="s">
        <v>143</v>
      </c>
      <c r="F55" s="22">
        <f>-((PARAM!$E$6/2-PARAM!$H$6-PARAM!$G$29/2))</f>
        <v>-130</v>
      </c>
      <c r="G55" s="22">
        <f>((PARAM!$I$39/2+((PARAM!$E$28/2-PARAM!$J$39-PARAM!$I$39/2)/(PARAM!$H$39/2-1))/2))</f>
        <v>80</v>
      </c>
      <c r="H55" s="22">
        <v>0</v>
      </c>
      <c r="I55" s="22" t="s">
        <v>192</v>
      </c>
    </row>
    <row r="56" spans="2:9" x14ac:dyDescent="0.25">
      <c r="B56" s="21" t="s">
        <v>182</v>
      </c>
      <c r="C56" s="22" t="s">
        <v>190</v>
      </c>
      <c r="D56" s="22" t="str">
        <f>IF(AND(PARAM!$E$7&gt;0,PARAM!$C$6="H"),"pl.fi","")</f>
        <v>pl.fi</v>
      </c>
      <c r="E56" s="22" t="s">
        <v>143</v>
      </c>
      <c r="F56" s="22">
        <f>-((PARAM!$E$6/2-PARAM!$H$6-PARAM!$G$29/2))</f>
        <v>-130</v>
      </c>
      <c r="G56" s="22">
        <f>-((PARAM!$I$39/2+((PARAM!$E$28/2-PARAM!$J$39-PARAM!$I$39/2)/(PARAM!$H$39/2-1))/2))</f>
        <v>-80</v>
      </c>
      <c r="H56" s="22">
        <v>0</v>
      </c>
      <c r="I56" s="22" t="s">
        <v>192</v>
      </c>
    </row>
    <row r="57" spans="1:9" x14ac:dyDescent="0.25">
      <c r="A57" s="12" t="s">
        <v>193</v>
      </c>
      <c r="B57" s="21" t="s">
        <v>182</v>
      </c>
      <c r="C57" s="22" t="s">
        <v>190</v>
      </c>
      <c r="D57" s="22" t="str">
        <f>IF(AND(PARAM!$E$7&gt;0,PARAM!$C$6="H"),"pl.wp","")</f>
        <v>pl.wp</v>
      </c>
      <c r="E57" s="22" t="s">
        <v>143</v>
      </c>
      <c r="F57" s="22">
        <v>0</v>
      </c>
      <c r="G57" s="22">
        <f>((PARAM!$G$6/2+PARAM!$G$30/2))</f>
        <v>10</v>
      </c>
      <c r="H57" s="22">
        <v>0</v>
      </c>
      <c r="I57" s="22" t="s">
        <v>194</v>
      </c>
    </row>
    <row r="58" spans="2:9" x14ac:dyDescent="0.25">
      <c r="B58" s="21" t="s">
        <v>182</v>
      </c>
      <c r="C58" s="22" t="s">
        <v>190</v>
      </c>
      <c r="D58" s="22" t="str">
        <f>IF(AND(PARAM!$E$7&gt;0,PARAM!$C$6="H"),"pl.wp","")</f>
        <v>pl.wp</v>
      </c>
      <c r="E58" s="22" t="s">
        <v>143</v>
      </c>
      <c r="F58" s="22">
        <v>0</v>
      </c>
      <c r="G58" s="22">
        <f>-((PARAM!$G$6/2+PARAM!$G$30/2))</f>
        <v>-10</v>
      </c>
      <c r="H58" s="22">
        <v>0</v>
      </c>
      <c r="I58" s="22" t="s">
        <v>194</v>
      </c>
    </row>
    <row r="59" spans="1:20" x14ac:dyDescent="0.25">
      <c r="A59" s="12" t="s">
        <v>195</v>
      </c>
      <c r="B59" s="21" t="s">
        <v>182</v>
      </c>
      <c r="C59" s="22" t="s">
        <v>190</v>
      </c>
      <c r="D59" s="22" t="str">
        <f>IF(AND(PARAM!$E$7&gt;0,PARAM!$C$6="H"),"bo.f","")</f>
        <v>bo.f</v>
      </c>
      <c r="E59" s="22"/>
      <c r="F59" s="22">
        <f>((PARAM!$E$6/2-PARAM!$H$6-PARAM!$G$29))</f>
        <v>125</v>
      </c>
      <c r="G59" s="22">
        <f>(PARAM!$I$39/2)</f>
        <v>50</v>
      </c>
      <c r="H59" s="22">
        <f>(PARAM!$F$39/2)</f>
        <v>35</v>
      </c>
      <c r="I59" s="22" t="s">
        <v>192</v>
      </c>
      <c r="J59" s="22">
        <v>0</v>
      </c>
      <c r="K59" s="22">
        <v>0</v>
      </c>
      <c r="L59" s="22">
        <v>0</v>
      </c>
      <c r="M59" s="22">
        <v>0</v>
      </c>
      <c r="N59" s="22">
        <f>((PARAM!$E$28/2-PARAM!$J$39-PARAM!$I$39/2)/(PARAM!$H$39/2-1))</f>
        <v>60</v>
      </c>
      <c r="O59" s="22">
        <v>0</v>
      </c>
      <c r="P59" s="22">
        <f>PARAM!$H$39/2-1</f>
        <v>1</v>
      </c>
      <c r="Q59" s="22">
        <v>0</v>
      </c>
      <c r="R59" s="22">
        <v>0</v>
      </c>
      <c r="S59" s="22">
        <f>((PARAM!$F$28/2-PARAM!$G$39-PARAM!$F$39/2)/(PARAM!$E$39/2-1))</f>
        <v>85</v>
      </c>
      <c r="T59" s="22">
        <f>PARAM!$E$39/2-1</f>
        <v>1</v>
      </c>
    </row>
    <row r="60" spans="2:20" x14ac:dyDescent="0.25">
      <c r="B60" s="21" t="s">
        <v>182</v>
      </c>
      <c r="C60" s="22" t="s">
        <v>190</v>
      </c>
      <c r="D60" s="22" t="str">
        <f>IF(AND(PARAM!$E$7&gt;0,PARAM!$C$6="H"),"bo.f","")</f>
        <v>bo.f</v>
      </c>
      <c r="E60" s="22"/>
      <c r="F60" s="22">
        <f>((PARAM!$E$6/2-PARAM!$H$6-PARAM!$G$29))</f>
        <v>125</v>
      </c>
      <c r="G60" s="22">
        <f>-(PARAM!$I$39/2)</f>
        <v>-50</v>
      </c>
      <c r="H60" s="22">
        <f>(PARAM!$F$39/2)</f>
        <v>35</v>
      </c>
      <c r="I60" s="22" t="s">
        <v>192</v>
      </c>
      <c r="J60" s="22">
        <v>0</v>
      </c>
      <c r="K60" s="22">
        <v>0</v>
      </c>
      <c r="L60" s="22">
        <v>0</v>
      </c>
      <c r="M60" s="22">
        <v>0</v>
      </c>
      <c r="N60" s="22">
        <f>-((PARAM!$E$28/2-PARAM!$J$39-PARAM!$I$39/2)/(PARAM!$H$39/2-1))</f>
        <v>-60</v>
      </c>
      <c r="O60" s="22">
        <v>0</v>
      </c>
      <c r="P60" s="22">
        <f>PARAM!$H$39/2-1</f>
        <v>1</v>
      </c>
      <c r="Q60" s="22">
        <v>0</v>
      </c>
      <c r="R60" s="22">
        <v>0</v>
      </c>
      <c r="S60" s="22">
        <f>((PARAM!$F$28/2-PARAM!$G$39-PARAM!$F$39/2)/(PARAM!$E$39/2-1))</f>
        <v>85</v>
      </c>
      <c r="T60" s="22">
        <f>PARAM!$E$39/2-1</f>
        <v>1</v>
      </c>
    </row>
    <row r="61" spans="2:20" x14ac:dyDescent="0.25">
      <c r="B61" s="21" t="s">
        <v>182</v>
      </c>
      <c r="C61" s="22" t="s">
        <v>190</v>
      </c>
      <c r="D61" s="22" t="str">
        <f>IF(AND(PARAM!$E$7&gt;0,PARAM!$C$6="H"),"bo.f","")</f>
        <v>bo.f</v>
      </c>
      <c r="E61" s="22"/>
      <c r="F61" s="22">
        <f>((PARAM!$E$6/2-PARAM!$H$6-PARAM!$G$29))</f>
        <v>125</v>
      </c>
      <c r="G61" s="22">
        <f>(PARAM!$I$39/2)</f>
        <v>50</v>
      </c>
      <c r="H61" s="22">
        <f>-(PARAM!$F$39/2)</f>
        <v>-35</v>
      </c>
      <c r="I61" s="22" t="s">
        <v>192</v>
      </c>
      <c r="J61" s="22">
        <v>0</v>
      </c>
      <c r="K61" s="22">
        <v>0</v>
      </c>
      <c r="L61" s="22">
        <v>0</v>
      </c>
      <c r="M61" s="22">
        <v>0</v>
      </c>
      <c r="N61" s="22">
        <f>((PARAM!$E$28/2-PARAM!$J$39-PARAM!$I$39/2)/(PARAM!$H$39/2-1))</f>
        <v>60</v>
      </c>
      <c r="O61" s="22">
        <v>0</v>
      </c>
      <c r="P61" s="22">
        <f>PARAM!$H$39/2-1</f>
        <v>1</v>
      </c>
      <c r="Q61" s="22">
        <v>0</v>
      </c>
      <c r="R61" s="22">
        <v>0</v>
      </c>
      <c r="S61" s="22">
        <f>-((PARAM!$F$28/2-PARAM!$G$39-PARAM!$F$39/2)/(PARAM!$E$39/2-1))</f>
        <v>-85</v>
      </c>
      <c r="T61" s="22">
        <f>PARAM!$E$39/2-1</f>
        <v>1</v>
      </c>
    </row>
    <row r="62" spans="2:20" x14ac:dyDescent="0.25">
      <c r="B62" s="21" t="s">
        <v>182</v>
      </c>
      <c r="C62" s="22" t="s">
        <v>190</v>
      </c>
      <c r="D62" s="22" t="str">
        <f>IF(AND(PARAM!$E$7&gt;0,PARAM!$C$6="H"),"bo.f","")</f>
        <v>bo.f</v>
      </c>
      <c r="E62" s="22"/>
      <c r="F62" s="22">
        <f>((PARAM!$E$6/2-PARAM!$H$6-PARAM!$G$29))</f>
        <v>125</v>
      </c>
      <c r="G62" s="22">
        <f>-(PARAM!$I$39/2)</f>
        <v>-50</v>
      </c>
      <c r="H62" s="22">
        <f>-(PARAM!$F$39/2)</f>
        <v>-35</v>
      </c>
      <c r="I62" s="22" t="s">
        <v>192</v>
      </c>
      <c r="J62" s="22">
        <v>0</v>
      </c>
      <c r="K62" s="22">
        <v>0</v>
      </c>
      <c r="L62" s="22">
        <v>0</v>
      </c>
      <c r="M62" s="22">
        <v>0</v>
      </c>
      <c r="N62" s="22">
        <f>-((PARAM!$E$28/2-PARAM!$J$39-PARAM!$I$39/2)/(PARAM!$H$39/2-1))</f>
        <v>-60</v>
      </c>
      <c r="O62" s="22">
        <v>0</v>
      </c>
      <c r="P62" s="22">
        <f>PARAM!$H$39/2-1</f>
        <v>1</v>
      </c>
      <c r="Q62" s="22">
        <v>0</v>
      </c>
      <c r="R62" s="22">
        <v>0</v>
      </c>
      <c r="S62" s="22">
        <f>-((PARAM!$F$28/2-PARAM!$G$39-PARAM!$F$39/2)/(PARAM!$E$39/2-1))</f>
        <v>-85</v>
      </c>
      <c r="T62" s="22">
        <f>PARAM!$E$39/2-1</f>
        <v>1</v>
      </c>
    </row>
    <row r="63" spans="2:20" x14ac:dyDescent="0.25">
      <c r="B63" s="21" t="s">
        <v>182</v>
      </c>
      <c r="C63" s="22" t="s">
        <v>190</v>
      </c>
      <c r="D63" s="22" t="str">
        <f>IF(AND(PARAM!$E$7&gt;0,PARAM!$C$6="H"),"bo.f","")</f>
        <v>bo.f</v>
      </c>
      <c r="E63" s="22"/>
      <c r="F63" s="22">
        <f>-((PARAM!$E$6/2-PARAM!$H$6-PARAM!$G$29))</f>
        <v>-125</v>
      </c>
      <c r="G63" s="22">
        <f>(PARAM!$I$39/2)</f>
        <v>50</v>
      </c>
      <c r="H63" s="22">
        <f>(PARAM!$F$39/2)</f>
        <v>35</v>
      </c>
      <c r="I63" s="22" t="s">
        <v>192</v>
      </c>
      <c r="J63" s="22">
        <v>0</v>
      </c>
      <c r="K63" s="22">
        <v>0</v>
      </c>
      <c r="L63" s="22">
        <v>180</v>
      </c>
      <c r="M63" s="22">
        <v>0</v>
      </c>
      <c r="N63" s="22">
        <f>((PARAM!$E$28/2-PARAM!$J$39-PARAM!$I$39/2)/(PARAM!$H$39/2-1))</f>
        <v>60</v>
      </c>
      <c r="O63" s="22">
        <v>0</v>
      </c>
      <c r="P63" s="22">
        <f>PARAM!$H$39/2-1</f>
        <v>1</v>
      </c>
      <c r="Q63" s="22">
        <v>0</v>
      </c>
      <c r="R63" s="22">
        <v>0</v>
      </c>
      <c r="S63" s="22">
        <f>((PARAM!$F$28/2-PARAM!$G$39-PARAM!$F$39/2)/(PARAM!$E$39/2-1))</f>
        <v>85</v>
      </c>
      <c r="T63" s="22">
        <f>PARAM!$E$39/2-1</f>
        <v>1</v>
      </c>
    </row>
    <row r="64" spans="2:20" x14ac:dyDescent="0.25">
      <c r="B64" s="21" t="s">
        <v>182</v>
      </c>
      <c r="C64" s="22" t="s">
        <v>190</v>
      </c>
      <c r="D64" s="22" t="str">
        <f>IF(AND(PARAM!$E$7&gt;0,PARAM!$C$6="H"),"bo.f","")</f>
        <v>bo.f</v>
      </c>
      <c r="E64" s="22"/>
      <c r="F64" s="22">
        <f>-((PARAM!$E$6/2-PARAM!$H$6-PARAM!$G$29))</f>
        <v>-125</v>
      </c>
      <c r="G64" s="22">
        <f>-(PARAM!$I$39/2)</f>
        <v>-50</v>
      </c>
      <c r="H64" s="22">
        <f>(PARAM!$F$39/2)</f>
        <v>35</v>
      </c>
      <c r="I64" s="22" t="s">
        <v>192</v>
      </c>
      <c r="J64" s="22">
        <v>0</v>
      </c>
      <c r="K64" s="22">
        <v>0</v>
      </c>
      <c r="L64" s="22">
        <v>180</v>
      </c>
      <c r="M64" s="22">
        <v>0</v>
      </c>
      <c r="N64" s="22">
        <f>-((PARAM!$E$28/2-PARAM!$J$39-PARAM!$I$39/2)/(PARAM!$H$39/2-1))</f>
        <v>-60</v>
      </c>
      <c r="O64" s="22">
        <v>0</v>
      </c>
      <c r="P64" s="22">
        <f>PARAM!$H$39/2-1</f>
        <v>1</v>
      </c>
      <c r="Q64" s="22">
        <v>0</v>
      </c>
      <c r="R64" s="22">
        <v>0</v>
      </c>
      <c r="S64" s="22">
        <f>((PARAM!$F$28/2-PARAM!$G$39-PARAM!$F$39/2)/(PARAM!$E$39/2-1))</f>
        <v>85</v>
      </c>
      <c r="T64" s="22">
        <f>PARAM!$E$39/2-1</f>
        <v>1</v>
      </c>
    </row>
    <row r="65" spans="2:20" x14ac:dyDescent="0.25">
      <c r="B65" s="21" t="s">
        <v>182</v>
      </c>
      <c r="C65" s="22" t="s">
        <v>190</v>
      </c>
      <c r="D65" s="22" t="str">
        <f>IF(AND(PARAM!$E$7&gt;0,PARAM!$C$6="H"),"bo.f","")</f>
        <v>bo.f</v>
      </c>
      <c r="E65" s="22"/>
      <c r="F65" s="22">
        <f>-((PARAM!$E$6/2-PARAM!$H$6-PARAM!$G$29))</f>
        <v>-125</v>
      </c>
      <c r="G65" s="22">
        <f>(PARAM!$I$39/2)</f>
        <v>50</v>
      </c>
      <c r="H65" s="22">
        <f>-(PARAM!$F$39/2)</f>
        <v>-35</v>
      </c>
      <c r="I65" s="22" t="s">
        <v>192</v>
      </c>
      <c r="J65" s="22">
        <v>0</v>
      </c>
      <c r="K65" s="22">
        <v>0</v>
      </c>
      <c r="L65" s="22">
        <v>180</v>
      </c>
      <c r="M65" s="22">
        <v>0</v>
      </c>
      <c r="N65" s="22">
        <f>((PARAM!$E$28/2-PARAM!$J$39-PARAM!$I$39/2)/(PARAM!$H$39/2-1))</f>
        <v>60</v>
      </c>
      <c r="O65" s="22">
        <v>0</v>
      </c>
      <c r="P65" s="22">
        <f>PARAM!$H$39/2-1</f>
        <v>1</v>
      </c>
      <c r="Q65" s="22">
        <v>0</v>
      </c>
      <c r="R65" s="22">
        <v>0</v>
      </c>
      <c r="S65" s="22">
        <f>-((PARAM!$F$28/2-PARAM!$G$39-PARAM!$F$39/2)/(PARAM!$E$39/2-1))</f>
        <v>-85</v>
      </c>
      <c r="T65" s="22">
        <f>PARAM!$E$39/2-1</f>
        <v>1</v>
      </c>
    </row>
    <row r="66" spans="2:20" x14ac:dyDescent="0.25">
      <c r="B66" s="21" t="s">
        <v>182</v>
      </c>
      <c r="C66" s="22" t="s">
        <v>190</v>
      </c>
      <c r="D66" s="22" t="str">
        <f>IF(AND(PARAM!$E$7&gt;0,PARAM!$C$6="H"),"bo.f","")</f>
        <v>bo.f</v>
      </c>
      <c r="E66" s="22"/>
      <c r="F66" s="22">
        <f>-((PARAM!$E$6/2-PARAM!$H$6-PARAM!$G$29))</f>
        <v>-125</v>
      </c>
      <c r="G66" s="22">
        <f>-(PARAM!$I$39/2)</f>
        <v>-50</v>
      </c>
      <c r="H66" s="22">
        <f>-(PARAM!$F$39/2)</f>
        <v>-35</v>
      </c>
      <c r="I66" s="22" t="s">
        <v>192</v>
      </c>
      <c r="J66" s="22">
        <v>0</v>
      </c>
      <c r="K66" s="22">
        <v>0</v>
      </c>
      <c r="L66" s="22">
        <v>180</v>
      </c>
      <c r="M66" s="22">
        <v>0</v>
      </c>
      <c r="N66" s="22">
        <f>-((PARAM!$E$28/2-PARAM!$J$39-PARAM!$I$39/2)/(PARAM!$H$39/2-1))</f>
        <v>-60</v>
      </c>
      <c r="O66" s="22">
        <v>0</v>
      </c>
      <c r="P66" s="22">
        <f>PARAM!$H$39/2-1</f>
        <v>1</v>
      </c>
      <c r="Q66" s="22">
        <v>0</v>
      </c>
      <c r="R66" s="22">
        <v>0</v>
      </c>
      <c r="S66" s="22">
        <f>-((PARAM!$F$28/2-PARAM!$G$39-PARAM!$F$39/2)/(PARAM!$E$39/2-1))</f>
        <v>-85</v>
      </c>
      <c r="T66" s="22">
        <f>PARAM!$E$39/2-1</f>
        <v>1</v>
      </c>
    </row>
    <row r="67" spans="1:16" x14ac:dyDescent="0.25">
      <c r="A67" s="12" t="s">
        <v>196</v>
      </c>
      <c r="B67" s="21" t="s">
        <v>182</v>
      </c>
      <c r="C67" s="22" t="s">
        <v>190</v>
      </c>
      <c r="D67" s="22" t="str">
        <f>IF(AND(PARAM!$E$7&gt;0,NOT(PARAM!$C$6="H")),"bo.f","")</f>
        <v/>
      </c>
      <c r="E67" s="22"/>
      <c r="F67" s="22">
        <f>-(PARAM!$E$31/2-PARAM!$F$42)</f>
        <v>-180</v>
      </c>
      <c r="G67" s="22">
        <f>((PARAM!$F$31/2-PARAM!$I$42))</f>
        <v>180</v>
      </c>
      <c r="H67" s="22">
        <f>-PARAM!$G$31/2</f>
        <v>-10</v>
      </c>
      <c r="I67" s="22" t="s">
        <v>184</v>
      </c>
      <c r="J67" s="22">
        <v>0</v>
      </c>
      <c r="K67" s="22">
        <v>0</v>
      </c>
      <c r="L67" s="22">
        <v>0</v>
      </c>
      <c r="M67" s="22">
        <f>((PARAM!$E$31-2*PARAM!$F$42)/(PARAM!$E$42-1))</f>
        <v>180</v>
      </c>
      <c r="N67" s="22">
        <v>0</v>
      </c>
      <c r="O67" s="22">
        <v>0</v>
      </c>
      <c r="P67" s="22">
        <f>PARAM!$E$42-1</f>
        <v>2</v>
      </c>
    </row>
    <row r="68" spans="2:16" x14ac:dyDescent="0.25">
      <c r="B68" s="21" t="s">
        <v>182</v>
      </c>
      <c r="C68" s="22" t="s">
        <v>190</v>
      </c>
      <c r="D68" s="22" t="str">
        <f>IF(AND(PARAM!$E$7&gt;0,NOT(PARAM!$C$6="H")),"bo.f","")</f>
        <v/>
      </c>
      <c r="E68" s="22"/>
      <c r="F68" s="22">
        <f>-(PARAM!$E$31/2-PARAM!$F$42)</f>
        <v>-180</v>
      </c>
      <c r="G68" s="22">
        <f>-((PARAM!$F$31/2-PARAM!$I$42))</f>
        <v>-180</v>
      </c>
      <c r="H68" s="22">
        <f>-PARAM!$G$31/2</f>
        <v>-10</v>
      </c>
      <c r="I68" s="22" t="s">
        <v>184</v>
      </c>
      <c r="J68" s="22">
        <v>0</v>
      </c>
      <c r="K68" s="22">
        <v>0</v>
      </c>
      <c r="L68" s="22">
        <v>0</v>
      </c>
      <c r="M68" s="22">
        <f>((PARAM!$E$31-2*PARAM!$F$42)/(PARAM!$E$42-1))</f>
        <v>180</v>
      </c>
      <c r="N68" s="22">
        <v>0</v>
      </c>
      <c r="O68" s="22">
        <v>0</v>
      </c>
      <c r="P68" s="22">
        <f>PARAM!$E$42-1</f>
        <v>2</v>
      </c>
    </row>
    <row r="69" spans="1:16" x14ac:dyDescent="0.25">
      <c r="A69" s="12" t="s">
        <v>197</v>
      </c>
      <c r="B69" s="21" t="s">
        <v>182</v>
      </c>
      <c r="C69" s="22" t="s">
        <v>190</v>
      </c>
      <c r="D69" s="22" t="str">
        <f>IF(AND(PARAM!$E$7&gt;0,NOT(PARAM!$C$6="H"),PARAM!$H$42&gt;2),"bo.f","")</f>
        <v/>
      </c>
      <c r="E69" s="22"/>
      <c r="F69" s="22">
        <f>((PARAM!$E$31/2-PARAM!$F$42))</f>
        <v>180</v>
      </c>
      <c r="G69" s="22">
        <f>-(PARAM!$F$31/2-PARAM!$I$42)+((PARAM!$F$31-2*PARAM!$I$42)/(PARAM!$H$42-1))</f>
        <v>0</v>
      </c>
      <c r="H69" s="22">
        <f>-PARAM!$G$31/2</f>
        <v>-10</v>
      </c>
      <c r="I69" s="22" t="s">
        <v>184</v>
      </c>
      <c r="J69" s="22">
        <v>0</v>
      </c>
      <c r="K69" s="22">
        <v>0</v>
      </c>
      <c r="L69" s="22">
        <v>0</v>
      </c>
      <c r="M69" s="22">
        <v>0</v>
      </c>
      <c r="N69" s="22">
        <f>IF(PARAM!$H$42&gt;3,((PARAM!$F$31-2*PARAM!$I$42)/(PARAM!$H$42-1)),0)</f>
        <v>0</v>
      </c>
      <c r="O69" s="22">
        <v>0</v>
      </c>
      <c r="P69" s="22">
        <f>MAX(0,PARAM!$H$42-3)</f>
        <v>0</v>
      </c>
    </row>
    <row r="70" spans="2:16" x14ac:dyDescent="0.25">
      <c r="B70" s="21" t="s">
        <v>182</v>
      </c>
      <c r="C70" s="22" t="s">
        <v>190</v>
      </c>
      <c r="D70" s="22" t="str">
        <f>IF(AND(PARAM!$E$7&gt;0,NOT(PARAM!$C$6="H"),PARAM!$H$42&gt;2),"bo.f","")</f>
        <v/>
      </c>
      <c r="E70" s="22"/>
      <c r="F70" s="22">
        <f>-((PARAM!$E$31/2-PARAM!$F$42))</f>
        <v>-180</v>
      </c>
      <c r="G70" s="22">
        <f>-(PARAM!$F$31/2-PARAM!$I$42)+((PARAM!$F$31-2*PARAM!$I$42)/(PARAM!$H$42-1))</f>
        <v>0</v>
      </c>
      <c r="H70" s="22">
        <f>-PARAM!$G$31/2</f>
        <v>-10</v>
      </c>
      <c r="I70" s="22" t="s">
        <v>184</v>
      </c>
      <c r="J70" s="22">
        <v>0</v>
      </c>
      <c r="K70" s="22">
        <v>0</v>
      </c>
      <c r="L70" s="22">
        <v>0</v>
      </c>
      <c r="M70" s="22">
        <v>0</v>
      </c>
      <c r="N70" s="22">
        <f>IF(PARAM!$H$42&gt;3,((PARAM!$F$31-2*PARAM!$I$42)/(PARAM!$H$42-1)),0)</f>
        <v>0</v>
      </c>
      <c r="O70" s="22">
        <v>0</v>
      </c>
      <c r="P70" s="22">
        <f>MAX(0,PARAM!$H$42-3)</f>
        <v>0</v>
      </c>
    </row>
    <row r="71" spans="1:20" x14ac:dyDescent="0.25">
      <c r="A71" s="12" t="s">
        <v>198</v>
      </c>
      <c r="B71" s="21" t="s">
        <v>182</v>
      </c>
      <c r="C71" s="22" t="s">
        <v>190</v>
      </c>
      <c r="D71" s="22" t="str">
        <f>IF(AND(PARAM!$E$7&gt;0,PARAM!$C$6="H"),"bo.w","")</f>
        <v>bo.w</v>
      </c>
      <c r="E71" s="22"/>
      <c r="F71" s="22">
        <f>-(PARAM!$E$30/2-PARAM!$J$40)</f>
        <v>-77</v>
      </c>
      <c r="G71" s="22">
        <f>(PARAM!$G$6/2+PARAM!$G$30)</f>
        <v>15</v>
      </c>
      <c r="H71" s="22">
        <f>(PARAM!$F$40/2)</f>
        <v>30</v>
      </c>
      <c r="I71" s="22" t="s">
        <v>194</v>
      </c>
      <c r="J71" s="22">
        <v>0</v>
      </c>
      <c r="K71" s="22">
        <v>0</v>
      </c>
      <c r="L71" s="22">
        <v>0</v>
      </c>
      <c r="M71" s="22">
        <f>(PARAM!$E$30-2*PARAM!$J$40-PARAM!$I$40)/(PARAM!$H$40-1)</f>
        <v>77</v>
      </c>
      <c r="N71" s="22">
        <v>0</v>
      </c>
      <c r="O71" s="22">
        <v>0</v>
      </c>
      <c r="P71" s="22">
        <f>PARAM!$H$40-1</f>
        <v>2</v>
      </c>
      <c r="Q71" s="22">
        <v>0</v>
      </c>
      <c r="R71" s="22">
        <v>0</v>
      </c>
      <c r="S71" s="22">
        <f>((PARAM!$F$30/2-PARAM!$G$40-PARAM!$F$40/2)/(PARAM!$E$40/2-1))</f>
        <v>90</v>
      </c>
      <c r="T71" s="22">
        <f>PARAM!$E$40/2-1</f>
        <v>1</v>
      </c>
    </row>
    <row r="72" spans="2:20" x14ac:dyDescent="0.25">
      <c r="B72" s="21" t="s">
        <v>182</v>
      </c>
      <c r="C72" s="22" t="s">
        <v>190</v>
      </c>
      <c r="D72" s="22" t="str">
        <f>IF(AND(PARAM!$E$7&gt;0,PARAM!$C$6="H"),"bo.w","")</f>
        <v>bo.w</v>
      </c>
      <c r="E72" s="22"/>
      <c r="F72" s="22">
        <f>-(PARAM!$E$30/2-PARAM!$J$40)</f>
        <v>-77</v>
      </c>
      <c r="G72" s="22">
        <f>(PARAM!$G$6/2+PARAM!$G$30)</f>
        <v>15</v>
      </c>
      <c r="H72" s="22">
        <f>-(PARAM!$F$40/2)</f>
        <v>-30</v>
      </c>
      <c r="I72" s="22" t="s">
        <v>194</v>
      </c>
      <c r="J72" s="22">
        <v>0</v>
      </c>
      <c r="K72" s="22">
        <v>0</v>
      </c>
      <c r="L72" s="22">
        <v>0</v>
      </c>
      <c r="M72" s="22">
        <f>(PARAM!$E$30-2*PARAM!$J$40-PARAM!$I$40)/(PARAM!$H$40-1)</f>
        <v>77</v>
      </c>
      <c r="N72" s="22">
        <v>0</v>
      </c>
      <c r="O72" s="22">
        <v>0</v>
      </c>
      <c r="P72" s="22">
        <f>PARAM!$H$40-1</f>
        <v>2</v>
      </c>
      <c r="Q72" s="22">
        <v>0</v>
      </c>
      <c r="R72" s="22">
        <v>0</v>
      </c>
      <c r="S72" s="22">
        <f>-((PARAM!$F$30/2-PARAM!$G$40-PARAM!$F$40/2)/(PARAM!$E$40/2-1))</f>
        <v>-90</v>
      </c>
      <c r="T72" s="22">
        <f>PARAM!$E$40/2-1</f>
        <v>1</v>
      </c>
    </row>
    <row r="73" spans="2:6" x14ac:dyDescent="0.25">
      <c r="B73" s="21" t="s">
        <v>182</v>
      </c>
      <c r="C73" s="22" t="s">
        <v>190</v>
      </c>
      <c r="D73" s="22" t="s">
        <v>185</v>
      </c>
      <c r="E73" s="22" t="s">
        <v>199</v>
      </c>
      <c r="F73" s="22" t="s">
        <v>143</v>
      </c>
    </row>
    <row r="74" spans="2:9" x14ac:dyDescent="0.25">
      <c r="B74" s="21" t="s">
        <v>182</v>
      </c>
      <c r="C74" s="22" t="s">
        <v>200</v>
      </c>
      <c r="D74" s="22" t="str">
        <f>IF(PARAM!$I$7&gt;0,"pl.fo","")</f>
        <v>pl.fo</v>
      </c>
      <c r="E74" s="22" t="s">
        <v>143</v>
      </c>
      <c r="F74" s="22">
        <f>IF(PARAM!$C$6="H",((PARAM!$E$6/2+PARAM!$G$28/2)),0)</f>
        <v>156</v>
      </c>
      <c r="G74" s="22">
        <v>0</v>
      </c>
      <c r="H74" s="22">
        <f>IF(PARAM!$C$6="H",0,(PARAM!$G$31/2))</f>
        <v>0</v>
      </c>
      <c r="I74" s="22" t="str">
        <f>IF(PARAM!$C$6="H","YZ","XY")</f>
        <v>YZ</v>
      </c>
    </row>
    <row r="75" spans="2:9" x14ac:dyDescent="0.25">
      <c r="B75" s="21" t="s">
        <v>182</v>
      </c>
      <c r="C75" s="22" t="s">
        <v>200</v>
      </c>
      <c r="D75" s="22" t="str">
        <f>IF(PARAM!$I$7&gt;0,"pl.fo","")</f>
        <v>pl.fo</v>
      </c>
      <c r="E75" s="22" t="s">
        <v>143</v>
      </c>
      <c r="F75" s="22">
        <f>IF(PARAM!$C$6="H",-((PARAM!$E$6/2+PARAM!$G$28/2)),0)</f>
        <v>-156</v>
      </c>
      <c r="G75" s="22">
        <v>0</v>
      </c>
      <c r="H75" s="22">
        <f>IF(PARAM!$C$6="H",0,-(PARAM!$G$31/2))</f>
        <v>0</v>
      </c>
      <c r="I75" s="22" t="str">
        <f>IF(PARAM!$C$6="H","YZ","XY")</f>
        <v>YZ</v>
      </c>
    </row>
    <row r="76" spans="2:9" x14ac:dyDescent="0.25">
      <c r="B76" s="21" t="s">
        <v>182</v>
      </c>
      <c r="C76" s="22" t="s">
        <v>200</v>
      </c>
      <c r="D76" s="22" t="str">
        <f>IF(AND(PARAM!$I$7&gt;0,PARAM!$C$6="H"),"pl.fi","")</f>
        <v>pl.fi</v>
      </c>
      <c r="E76" s="22" t="s">
        <v>143</v>
      </c>
      <c r="F76" s="22">
        <f>((PARAM!$E$6/2-PARAM!$H$6-PARAM!$G$29/2))</f>
        <v>130</v>
      </c>
      <c r="G76" s="22">
        <f>((PARAM!$I$39/2+((PARAM!$E$28/2-PARAM!$J$39-PARAM!$I$39/2)/(PARAM!$H$39/2-1))/2))</f>
        <v>80</v>
      </c>
      <c r="H76" s="22">
        <v>0</v>
      </c>
      <c r="I76" s="22" t="s">
        <v>192</v>
      </c>
    </row>
    <row r="77" spans="2:9" x14ac:dyDescent="0.25">
      <c r="B77" s="21" t="s">
        <v>182</v>
      </c>
      <c r="C77" s="22" t="s">
        <v>200</v>
      </c>
      <c r="D77" s="22" t="str">
        <f>IF(AND(PARAM!$I$7&gt;0,PARAM!$C$6="H"),"pl.fi","")</f>
        <v>pl.fi</v>
      </c>
      <c r="E77" s="22" t="s">
        <v>143</v>
      </c>
      <c r="F77" s="22">
        <f>((PARAM!$E$6/2-PARAM!$H$6-PARAM!$G$29/2))</f>
        <v>130</v>
      </c>
      <c r="G77" s="22">
        <f>-((PARAM!$I$39/2+((PARAM!$E$28/2-PARAM!$J$39-PARAM!$I$39/2)/(PARAM!$H$39/2-1))/2))</f>
        <v>-80</v>
      </c>
      <c r="H77" s="22">
        <v>0</v>
      </c>
      <c r="I77" s="22" t="s">
        <v>192</v>
      </c>
    </row>
    <row r="78" spans="2:9" x14ac:dyDescent="0.25">
      <c r="B78" s="21" t="s">
        <v>182</v>
      </c>
      <c r="C78" s="22" t="s">
        <v>200</v>
      </c>
      <c r="D78" s="22" t="str">
        <f>IF(AND(PARAM!$I$7&gt;0,PARAM!$C$6="H"),"pl.fi","")</f>
        <v>pl.fi</v>
      </c>
      <c r="E78" s="22" t="s">
        <v>143</v>
      </c>
      <c r="F78" s="22">
        <f>-((PARAM!$E$6/2-PARAM!$H$6-PARAM!$G$29/2))</f>
        <v>-130</v>
      </c>
      <c r="G78" s="22">
        <f>((PARAM!$I$39/2+((PARAM!$E$28/2-PARAM!$J$39-PARAM!$I$39/2)/(PARAM!$H$39/2-1))/2))</f>
        <v>80</v>
      </c>
      <c r="H78" s="22">
        <v>0</v>
      </c>
      <c r="I78" s="22" t="s">
        <v>192</v>
      </c>
    </row>
    <row r="79" spans="2:9" x14ac:dyDescent="0.25">
      <c r="B79" s="21" t="s">
        <v>182</v>
      </c>
      <c r="C79" s="22" t="s">
        <v>200</v>
      </c>
      <c r="D79" s="22" t="str">
        <f>IF(AND(PARAM!$I$7&gt;0,PARAM!$C$6="H"),"pl.fi","")</f>
        <v>pl.fi</v>
      </c>
      <c r="E79" s="22" t="s">
        <v>143</v>
      </c>
      <c r="F79" s="22">
        <f>-((PARAM!$E$6/2-PARAM!$H$6-PARAM!$G$29/2))</f>
        <v>-130</v>
      </c>
      <c r="G79" s="22">
        <f>-((PARAM!$I$39/2+((PARAM!$E$28/2-PARAM!$J$39-PARAM!$I$39/2)/(PARAM!$H$39/2-1))/2))</f>
        <v>-80</v>
      </c>
      <c r="H79" s="22">
        <v>0</v>
      </c>
      <c r="I79" s="22" t="s">
        <v>192</v>
      </c>
    </row>
    <row r="80" spans="2:9" x14ac:dyDescent="0.25">
      <c r="B80" s="21" t="s">
        <v>182</v>
      </c>
      <c r="C80" s="22" t="s">
        <v>200</v>
      </c>
      <c r="D80" s="22" t="str">
        <f>IF(AND(PARAM!$I$7&gt;0,PARAM!$C$6="H"),"pl.wp","")</f>
        <v>pl.wp</v>
      </c>
      <c r="E80" s="22" t="s">
        <v>143</v>
      </c>
      <c r="F80" s="22">
        <v>0</v>
      </c>
      <c r="G80" s="22">
        <f>((PARAM!$G$6/2+PARAM!$G$30/2))</f>
        <v>10</v>
      </c>
      <c r="H80" s="22">
        <v>0</v>
      </c>
      <c r="I80" s="22" t="s">
        <v>194</v>
      </c>
    </row>
    <row r="81" spans="2:9" x14ac:dyDescent="0.25">
      <c r="B81" s="21" t="s">
        <v>182</v>
      </c>
      <c r="C81" s="22" t="s">
        <v>200</v>
      </c>
      <c r="D81" s="22" t="str">
        <f>IF(AND(PARAM!$I$7&gt;0,PARAM!$C$6="H"),"pl.wp","")</f>
        <v>pl.wp</v>
      </c>
      <c r="E81" s="22" t="s">
        <v>143</v>
      </c>
      <c r="F81" s="22">
        <v>0</v>
      </c>
      <c r="G81" s="22">
        <f>-((PARAM!$G$6/2+PARAM!$G$30/2))</f>
        <v>-10</v>
      </c>
      <c r="H81" s="22">
        <v>0</v>
      </c>
      <c r="I81" s="22" t="s">
        <v>194</v>
      </c>
    </row>
    <row r="82" spans="2:20" x14ac:dyDescent="0.25">
      <c r="B82" s="21" t="s">
        <v>182</v>
      </c>
      <c r="C82" s="22" t="s">
        <v>200</v>
      </c>
      <c r="D82" s="22" t="str">
        <f>IF(AND(PARAM!$I$7&gt;0,PARAM!$C$6="H"),"bo.f","")</f>
        <v>bo.f</v>
      </c>
      <c r="E82" s="22"/>
      <c r="F82" s="22">
        <f>((PARAM!$E$6/2-PARAM!$H$6-PARAM!$G$29))</f>
        <v>125</v>
      </c>
      <c r="G82" s="22">
        <f>(PARAM!$I$39/2)</f>
        <v>50</v>
      </c>
      <c r="H82" s="22">
        <f>(PARAM!$F$39/2)</f>
        <v>35</v>
      </c>
      <c r="I82" s="22" t="s">
        <v>192</v>
      </c>
      <c r="J82" s="22">
        <v>0</v>
      </c>
      <c r="K82" s="22">
        <v>0</v>
      </c>
      <c r="L82" s="22">
        <v>0</v>
      </c>
      <c r="M82" s="22">
        <v>0</v>
      </c>
      <c r="N82" s="22">
        <f>((PARAM!$E$28/2-PARAM!$J$39-PARAM!$I$39/2)/(PARAM!$H$39/2-1))</f>
        <v>60</v>
      </c>
      <c r="O82" s="22">
        <v>0</v>
      </c>
      <c r="P82" s="22">
        <f>PARAM!$H$39/2-1</f>
        <v>1</v>
      </c>
      <c r="Q82" s="22">
        <v>0</v>
      </c>
      <c r="R82" s="22">
        <v>0</v>
      </c>
      <c r="S82" s="22">
        <f>((PARAM!$F$28/2-PARAM!$G$39-PARAM!$F$39/2)/(PARAM!$E$39/2-1))</f>
        <v>85</v>
      </c>
      <c r="T82" s="22">
        <f>PARAM!$E$39/2-1</f>
        <v>1</v>
      </c>
    </row>
    <row r="83" spans="2:20" x14ac:dyDescent="0.25">
      <c r="B83" s="21" t="s">
        <v>182</v>
      </c>
      <c r="C83" s="22" t="s">
        <v>200</v>
      </c>
      <c r="D83" s="22" t="str">
        <f>IF(AND(PARAM!$I$7&gt;0,PARAM!$C$6="H"),"bo.f","")</f>
        <v>bo.f</v>
      </c>
      <c r="E83" s="22"/>
      <c r="F83" s="22">
        <f>((PARAM!$E$6/2-PARAM!$H$6-PARAM!$G$29))</f>
        <v>125</v>
      </c>
      <c r="G83" s="22">
        <f>-(PARAM!$I$39/2)</f>
        <v>-50</v>
      </c>
      <c r="H83" s="22">
        <f>(PARAM!$F$39/2)</f>
        <v>35</v>
      </c>
      <c r="I83" s="22" t="s">
        <v>192</v>
      </c>
      <c r="J83" s="22">
        <v>0</v>
      </c>
      <c r="K83" s="22">
        <v>0</v>
      </c>
      <c r="L83" s="22">
        <v>0</v>
      </c>
      <c r="M83" s="22">
        <v>0</v>
      </c>
      <c r="N83" s="22">
        <f>-((PARAM!$E$28/2-PARAM!$J$39-PARAM!$I$39/2)/(PARAM!$H$39/2-1))</f>
        <v>-60</v>
      </c>
      <c r="O83" s="22">
        <v>0</v>
      </c>
      <c r="P83" s="22">
        <f>PARAM!$H$39/2-1</f>
        <v>1</v>
      </c>
      <c r="Q83" s="22">
        <v>0</v>
      </c>
      <c r="R83" s="22">
        <v>0</v>
      </c>
      <c r="S83" s="22">
        <f>((PARAM!$F$28/2-PARAM!$G$39-PARAM!$F$39/2)/(PARAM!$E$39/2-1))</f>
        <v>85</v>
      </c>
      <c r="T83" s="22">
        <f>PARAM!$E$39/2-1</f>
        <v>1</v>
      </c>
    </row>
    <row r="84" spans="2:20" x14ac:dyDescent="0.25">
      <c r="B84" s="21" t="s">
        <v>182</v>
      </c>
      <c r="C84" s="22" t="s">
        <v>200</v>
      </c>
      <c r="D84" s="22" t="str">
        <f>IF(AND(PARAM!$I$7&gt;0,PARAM!$C$6="H"),"bo.f","")</f>
        <v>bo.f</v>
      </c>
      <c r="E84" s="22"/>
      <c r="F84" s="22">
        <f>((PARAM!$E$6/2-PARAM!$H$6-PARAM!$G$29))</f>
        <v>125</v>
      </c>
      <c r="G84" s="22">
        <f>(PARAM!$I$39/2)</f>
        <v>50</v>
      </c>
      <c r="H84" s="22">
        <f>-(PARAM!$F$39/2)</f>
        <v>-35</v>
      </c>
      <c r="I84" s="22" t="s">
        <v>192</v>
      </c>
      <c r="J84" s="22">
        <v>0</v>
      </c>
      <c r="K84" s="22">
        <v>0</v>
      </c>
      <c r="L84" s="22">
        <v>0</v>
      </c>
      <c r="M84" s="22">
        <v>0</v>
      </c>
      <c r="N84" s="22">
        <f>((PARAM!$E$28/2-PARAM!$J$39-PARAM!$I$39/2)/(PARAM!$H$39/2-1))</f>
        <v>60</v>
      </c>
      <c r="O84" s="22">
        <v>0</v>
      </c>
      <c r="P84" s="22">
        <f>PARAM!$H$39/2-1</f>
        <v>1</v>
      </c>
      <c r="Q84" s="22">
        <v>0</v>
      </c>
      <c r="R84" s="22">
        <v>0</v>
      </c>
      <c r="S84" s="22">
        <f>-((PARAM!$F$28/2-PARAM!$G$39-PARAM!$F$39/2)/(PARAM!$E$39/2-1))</f>
        <v>-85</v>
      </c>
      <c r="T84" s="22">
        <f>PARAM!$E$39/2-1</f>
        <v>1</v>
      </c>
    </row>
    <row r="85" spans="2:20" x14ac:dyDescent="0.25">
      <c r="B85" s="21" t="s">
        <v>182</v>
      </c>
      <c r="C85" s="22" t="s">
        <v>200</v>
      </c>
      <c r="D85" s="22" t="str">
        <f>IF(AND(PARAM!$I$7&gt;0,PARAM!$C$6="H"),"bo.f","")</f>
        <v>bo.f</v>
      </c>
      <c r="E85" s="22"/>
      <c r="F85" s="22">
        <f>((PARAM!$E$6/2-PARAM!$H$6-PARAM!$G$29))</f>
        <v>125</v>
      </c>
      <c r="G85" s="22">
        <f>-(PARAM!$I$39/2)</f>
        <v>-50</v>
      </c>
      <c r="H85" s="22">
        <f>-(PARAM!$F$39/2)</f>
        <v>-35</v>
      </c>
      <c r="I85" s="22" t="s">
        <v>192</v>
      </c>
      <c r="J85" s="22">
        <v>0</v>
      </c>
      <c r="K85" s="22">
        <v>0</v>
      </c>
      <c r="L85" s="22">
        <v>0</v>
      </c>
      <c r="M85" s="22">
        <v>0</v>
      </c>
      <c r="N85" s="22">
        <f>-((PARAM!$E$28/2-PARAM!$J$39-PARAM!$I$39/2)/(PARAM!$H$39/2-1))</f>
        <v>-60</v>
      </c>
      <c r="O85" s="22">
        <v>0</v>
      </c>
      <c r="P85" s="22">
        <f>PARAM!$H$39/2-1</f>
        <v>1</v>
      </c>
      <c r="Q85" s="22">
        <v>0</v>
      </c>
      <c r="R85" s="22">
        <v>0</v>
      </c>
      <c r="S85" s="22">
        <f>-((PARAM!$F$28/2-PARAM!$G$39-PARAM!$F$39/2)/(PARAM!$E$39/2-1))</f>
        <v>-85</v>
      </c>
      <c r="T85" s="22">
        <f>PARAM!$E$39/2-1</f>
        <v>1</v>
      </c>
    </row>
    <row r="86" spans="2:20" x14ac:dyDescent="0.25">
      <c r="B86" s="21" t="s">
        <v>182</v>
      </c>
      <c r="C86" s="22" t="s">
        <v>200</v>
      </c>
      <c r="D86" s="22" t="str">
        <f>IF(AND(PARAM!$I$7&gt;0,PARAM!$C$6="H"),"bo.f","")</f>
        <v>bo.f</v>
      </c>
      <c r="E86" s="22"/>
      <c r="F86" s="22">
        <f>-((PARAM!$E$6/2-PARAM!$H$6-PARAM!$G$29))</f>
        <v>-125</v>
      </c>
      <c r="G86" s="22">
        <f>(PARAM!$I$39/2)</f>
        <v>50</v>
      </c>
      <c r="H86" s="22">
        <f>(PARAM!$F$39/2)</f>
        <v>35</v>
      </c>
      <c r="I86" s="22" t="s">
        <v>192</v>
      </c>
      <c r="J86" s="22">
        <v>0</v>
      </c>
      <c r="K86" s="22">
        <v>0</v>
      </c>
      <c r="L86" s="22">
        <v>180</v>
      </c>
      <c r="M86" s="22">
        <v>0</v>
      </c>
      <c r="N86" s="22">
        <f>((PARAM!$E$28/2-PARAM!$J$39-PARAM!$I$39/2)/(PARAM!$H$39/2-1))</f>
        <v>60</v>
      </c>
      <c r="O86" s="22">
        <v>0</v>
      </c>
      <c r="P86" s="22">
        <f>PARAM!$H$39/2-1</f>
        <v>1</v>
      </c>
      <c r="Q86" s="22">
        <v>0</v>
      </c>
      <c r="R86" s="22">
        <v>0</v>
      </c>
      <c r="S86" s="22">
        <f>((PARAM!$F$28/2-PARAM!$G$39-PARAM!$F$39/2)/(PARAM!$E$39/2-1))</f>
        <v>85</v>
      </c>
      <c r="T86" s="22">
        <f>PARAM!$E$39/2-1</f>
        <v>1</v>
      </c>
    </row>
    <row r="87" spans="2:20" x14ac:dyDescent="0.25">
      <c r="B87" s="21" t="s">
        <v>182</v>
      </c>
      <c r="C87" s="22" t="s">
        <v>200</v>
      </c>
      <c r="D87" s="22" t="str">
        <f>IF(AND(PARAM!$I$7&gt;0,PARAM!$C$6="H"),"bo.f","")</f>
        <v>bo.f</v>
      </c>
      <c r="E87" s="22"/>
      <c r="F87" s="22">
        <f>-((PARAM!$E$6/2-PARAM!$H$6-PARAM!$G$29))</f>
        <v>-125</v>
      </c>
      <c r="G87" s="22">
        <f>-(PARAM!$I$39/2)</f>
        <v>-50</v>
      </c>
      <c r="H87" s="22">
        <f>(PARAM!$F$39/2)</f>
        <v>35</v>
      </c>
      <c r="I87" s="22" t="s">
        <v>192</v>
      </c>
      <c r="J87" s="22">
        <v>0</v>
      </c>
      <c r="K87" s="22">
        <v>0</v>
      </c>
      <c r="L87" s="22">
        <v>180</v>
      </c>
      <c r="M87" s="22">
        <v>0</v>
      </c>
      <c r="N87" s="22">
        <f>-((PARAM!$E$28/2-PARAM!$J$39-PARAM!$I$39/2)/(PARAM!$H$39/2-1))</f>
        <v>-60</v>
      </c>
      <c r="O87" s="22">
        <v>0</v>
      </c>
      <c r="P87" s="22">
        <f>PARAM!$H$39/2-1</f>
        <v>1</v>
      </c>
      <c r="Q87" s="22">
        <v>0</v>
      </c>
      <c r="R87" s="22">
        <v>0</v>
      </c>
      <c r="S87" s="22">
        <f>((PARAM!$F$28/2-PARAM!$G$39-PARAM!$F$39/2)/(PARAM!$E$39/2-1))</f>
        <v>85</v>
      </c>
      <c r="T87" s="22">
        <f>PARAM!$E$39/2-1</f>
        <v>1</v>
      </c>
    </row>
    <row r="88" spans="2:20" x14ac:dyDescent="0.25">
      <c r="B88" s="21" t="s">
        <v>182</v>
      </c>
      <c r="C88" s="22" t="s">
        <v>200</v>
      </c>
      <c r="D88" s="22" t="str">
        <f>IF(AND(PARAM!$I$7&gt;0,PARAM!$C$6="H"),"bo.f","")</f>
        <v>bo.f</v>
      </c>
      <c r="E88" s="22"/>
      <c r="F88" s="22">
        <f>-((PARAM!$E$6/2-PARAM!$H$6-PARAM!$G$29))</f>
        <v>-125</v>
      </c>
      <c r="G88" s="22">
        <f>(PARAM!$I$39/2)</f>
        <v>50</v>
      </c>
      <c r="H88" s="22">
        <f>-(PARAM!$F$39/2)</f>
        <v>-35</v>
      </c>
      <c r="I88" s="22" t="s">
        <v>192</v>
      </c>
      <c r="J88" s="22">
        <v>0</v>
      </c>
      <c r="K88" s="22">
        <v>0</v>
      </c>
      <c r="L88" s="22">
        <v>180</v>
      </c>
      <c r="M88" s="22">
        <v>0</v>
      </c>
      <c r="N88" s="22">
        <f>((PARAM!$E$28/2-PARAM!$J$39-PARAM!$I$39/2)/(PARAM!$H$39/2-1))</f>
        <v>60</v>
      </c>
      <c r="O88" s="22">
        <v>0</v>
      </c>
      <c r="P88" s="22">
        <f>PARAM!$H$39/2-1</f>
        <v>1</v>
      </c>
      <c r="Q88" s="22">
        <v>0</v>
      </c>
      <c r="R88" s="22">
        <v>0</v>
      </c>
      <c r="S88" s="22">
        <f>-((PARAM!$F$28/2-PARAM!$G$39-PARAM!$F$39/2)/(PARAM!$E$39/2-1))</f>
        <v>-85</v>
      </c>
      <c r="T88" s="22">
        <f>PARAM!$E$39/2-1</f>
        <v>1</v>
      </c>
    </row>
    <row r="89" spans="2:20" x14ac:dyDescent="0.25">
      <c r="B89" s="21" t="s">
        <v>182</v>
      </c>
      <c r="C89" s="22" t="s">
        <v>200</v>
      </c>
      <c r="D89" s="22" t="str">
        <f>IF(AND(PARAM!$I$7&gt;0,PARAM!$C$6="H"),"bo.f","")</f>
        <v>bo.f</v>
      </c>
      <c r="E89" s="22"/>
      <c r="F89" s="22">
        <f>-((PARAM!$E$6/2-PARAM!$H$6-PARAM!$G$29))</f>
        <v>-125</v>
      </c>
      <c r="G89" s="22">
        <f>-(PARAM!$I$39/2)</f>
        <v>-50</v>
      </c>
      <c r="H89" s="22">
        <f>-(PARAM!$F$39/2)</f>
        <v>-35</v>
      </c>
      <c r="I89" s="22" t="s">
        <v>192</v>
      </c>
      <c r="J89" s="22">
        <v>0</v>
      </c>
      <c r="K89" s="22">
        <v>0</v>
      </c>
      <c r="L89" s="22">
        <v>180</v>
      </c>
      <c r="M89" s="22">
        <v>0</v>
      </c>
      <c r="N89" s="22">
        <f>-((PARAM!$E$28/2-PARAM!$J$39-PARAM!$I$39/2)/(PARAM!$H$39/2-1))</f>
        <v>-60</v>
      </c>
      <c r="O89" s="22">
        <v>0</v>
      </c>
      <c r="P89" s="22">
        <f>PARAM!$H$39/2-1</f>
        <v>1</v>
      </c>
      <c r="Q89" s="22">
        <v>0</v>
      </c>
      <c r="R89" s="22">
        <v>0</v>
      </c>
      <c r="S89" s="22">
        <f>-((PARAM!$F$28/2-PARAM!$G$39-PARAM!$F$39/2)/(PARAM!$E$39/2-1))</f>
        <v>-85</v>
      </c>
      <c r="T89" s="22">
        <f>PARAM!$E$39/2-1</f>
        <v>1</v>
      </c>
    </row>
    <row r="90" spans="2:16" x14ac:dyDescent="0.25">
      <c r="B90" s="21" t="s">
        <v>182</v>
      </c>
      <c r="C90" s="22" t="s">
        <v>200</v>
      </c>
      <c r="D90" s="22" t="str">
        <f>IF(AND(PARAM!$I$7&gt;0,NOT(PARAM!$C$6="H")),"bo.f","")</f>
        <v/>
      </c>
      <c r="E90" s="22"/>
      <c r="F90" s="22">
        <f>-(PARAM!$E$31/2-PARAM!$F$42)</f>
        <v>-180</v>
      </c>
      <c r="G90" s="22">
        <f>((PARAM!$F$31/2-PARAM!$I$42))</f>
        <v>180</v>
      </c>
      <c r="H90" s="22">
        <f>-PARAM!$G$31/2</f>
        <v>-10</v>
      </c>
      <c r="I90" s="22" t="s">
        <v>184</v>
      </c>
      <c r="J90" s="22">
        <v>0</v>
      </c>
      <c r="K90" s="22">
        <v>0</v>
      </c>
      <c r="L90" s="22">
        <v>0</v>
      </c>
      <c r="M90" s="22">
        <f>((PARAM!$E$31-2*PARAM!$F$42)/(PARAM!$E$42-1))</f>
        <v>180</v>
      </c>
      <c r="N90" s="22">
        <v>0</v>
      </c>
      <c r="O90" s="22">
        <v>0</v>
      </c>
      <c r="P90" s="22">
        <f>PARAM!$E$42-1</f>
        <v>2</v>
      </c>
    </row>
    <row r="91" spans="2:16" x14ac:dyDescent="0.25">
      <c r="B91" s="21" t="s">
        <v>182</v>
      </c>
      <c r="C91" s="22" t="s">
        <v>200</v>
      </c>
      <c r="D91" s="22" t="str">
        <f>IF(AND(PARAM!$I$7&gt;0,NOT(PARAM!$C$6="H")),"bo.f","")</f>
        <v/>
      </c>
      <c r="E91" s="22"/>
      <c r="F91" s="22">
        <f>-(PARAM!$E$31/2-PARAM!$F$42)</f>
        <v>-180</v>
      </c>
      <c r="G91" s="22">
        <f>-((PARAM!$F$31/2-PARAM!$I$42))</f>
        <v>-180</v>
      </c>
      <c r="H91" s="22">
        <f>-PARAM!$G$31/2</f>
        <v>-10</v>
      </c>
      <c r="I91" s="22" t="s">
        <v>184</v>
      </c>
      <c r="J91" s="22">
        <v>0</v>
      </c>
      <c r="K91" s="22">
        <v>0</v>
      </c>
      <c r="L91" s="22">
        <v>0</v>
      </c>
      <c r="M91" s="22">
        <f>((PARAM!$E$31-2*PARAM!$F$42)/(PARAM!$E$42-1))</f>
        <v>180</v>
      </c>
      <c r="N91" s="22">
        <v>0</v>
      </c>
      <c r="O91" s="22">
        <v>0</v>
      </c>
      <c r="P91" s="22">
        <f>PARAM!$E$42-1</f>
        <v>2</v>
      </c>
    </row>
    <row r="92" spans="2:16" x14ac:dyDescent="0.25">
      <c r="B92" s="21" t="s">
        <v>182</v>
      </c>
      <c r="C92" s="22" t="s">
        <v>200</v>
      </c>
      <c r="D92" s="22" t="str">
        <f>IF(AND(PARAM!$I$7&gt;0,NOT(PARAM!$C$6="H"),PARAM!$H$42&gt;2),"bo.f","")</f>
        <v/>
      </c>
      <c r="E92" s="22"/>
      <c r="F92" s="22">
        <f>((PARAM!$E$31/2-PARAM!$F$42))</f>
        <v>180</v>
      </c>
      <c r="G92" s="22">
        <f>-(PARAM!$F$31/2-PARAM!$I$42)+((PARAM!$F$31-2*PARAM!$I$42)/(PARAM!$H$42-1))</f>
        <v>0</v>
      </c>
      <c r="H92" s="22">
        <f>-PARAM!$G$31/2</f>
        <v>-10</v>
      </c>
      <c r="I92" s="22" t="s">
        <v>184</v>
      </c>
      <c r="J92" s="22">
        <v>0</v>
      </c>
      <c r="K92" s="22">
        <v>0</v>
      </c>
      <c r="L92" s="22">
        <v>0</v>
      </c>
      <c r="M92" s="22">
        <v>0</v>
      </c>
      <c r="N92" s="22">
        <f>IF(PARAM!$H$42&gt;3,((PARAM!$F$31-2*PARAM!$I$42)/(PARAM!$H$42-1)),0)</f>
        <v>0</v>
      </c>
      <c r="O92" s="22">
        <v>0</v>
      </c>
      <c r="P92" s="22">
        <f>MAX(0,PARAM!$H$42-3)</f>
        <v>0</v>
      </c>
    </row>
    <row r="93" spans="2:16" x14ac:dyDescent="0.25">
      <c r="B93" s="21" t="s">
        <v>182</v>
      </c>
      <c r="C93" s="22" t="s">
        <v>200</v>
      </c>
      <c r="D93" s="22" t="str">
        <f>IF(AND(PARAM!$I$7&gt;0,NOT(PARAM!$C$6="H"),PARAM!$H$42&gt;2),"bo.f","")</f>
        <v/>
      </c>
      <c r="E93" s="22"/>
      <c r="F93" s="22">
        <f>-((PARAM!$E$31/2-PARAM!$F$42))</f>
        <v>-180</v>
      </c>
      <c r="G93" s="22">
        <f>-(PARAM!$F$31/2-PARAM!$I$42)+((PARAM!$F$31-2*PARAM!$I$42)/(PARAM!$H$42-1))</f>
        <v>0</v>
      </c>
      <c r="H93" s="22">
        <f>-PARAM!$G$31/2</f>
        <v>-10</v>
      </c>
      <c r="I93" s="22" t="s">
        <v>184</v>
      </c>
      <c r="J93" s="22">
        <v>0</v>
      </c>
      <c r="K93" s="22">
        <v>0</v>
      </c>
      <c r="L93" s="22">
        <v>0</v>
      </c>
      <c r="M93" s="22">
        <v>0</v>
      </c>
      <c r="N93" s="22">
        <f>IF(PARAM!$H$42&gt;3,((PARAM!$F$31-2*PARAM!$I$42)/(PARAM!$H$42-1)),0)</f>
        <v>0</v>
      </c>
      <c r="O93" s="22">
        <v>0</v>
      </c>
      <c r="P93" s="22">
        <f>MAX(0,PARAM!$H$42-3)</f>
        <v>0</v>
      </c>
    </row>
    <row r="94" spans="2:20" x14ac:dyDescent="0.25">
      <c r="B94" s="21" t="s">
        <v>182</v>
      </c>
      <c r="C94" s="22" t="s">
        <v>200</v>
      </c>
      <c r="D94" s="22" t="str">
        <f>IF(AND(PARAM!$I$7&gt;0,PARAM!$C$6="H"),"bo.w","")</f>
        <v>bo.w</v>
      </c>
      <c r="E94" s="22"/>
      <c r="F94" s="22">
        <f>-(PARAM!$E$30/2-PARAM!$J$40)</f>
        <v>-77</v>
      </c>
      <c r="G94" s="22">
        <f>(PARAM!$G$6/2+PARAM!$G$30)</f>
        <v>15</v>
      </c>
      <c r="H94" s="22">
        <f>(PARAM!$F$40/2)</f>
        <v>30</v>
      </c>
      <c r="I94" s="22" t="s">
        <v>194</v>
      </c>
      <c r="J94" s="22">
        <v>0</v>
      </c>
      <c r="K94" s="22">
        <v>0</v>
      </c>
      <c r="L94" s="22">
        <v>0</v>
      </c>
      <c r="M94" s="22">
        <f>(PARAM!$E$30-2*PARAM!$J$40-PARAM!$I$40)/(PARAM!$H$40-1)</f>
        <v>77</v>
      </c>
      <c r="N94" s="22">
        <v>0</v>
      </c>
      <c r="O94" s="22">
        <v>0</v>
      </c>
      <c r="P94" s="22">
        <f>PARAM!$H$40-1</f>
        <v>2</v>
      </c>
      <c r="Q94" s="22">
        <v>0</v>
      </c>
      <c r="R94" s="22">
        <v>0</v>
      </c>
      <c r="S94" s="22">
        <f>((PARAM!$F$30/2-PARAM!$G$40-PARAM!$F$40/2)/(PARAM!$E$40/2-1))</f>
        <v>90</v>
      </c>
      <c r="T94" s="22">
        <f>PARAM!$E$40/2-1</f>
        <v>1</v>
      </c>
    </row>
    <row r="95" spans="2:20" x14ac:dyDescent="0.25">
      <c r="B95" s="21" t="s">
        <v>182</v>
      </c>
      <c r="C95" s="22" t="s">
        <v>200</v>
      </c>
      <c r="D95" s="22" t="str">
        <f>IF(AND(PARAM!$I$7&gt;0,PARAM!$C$6="H"),"bo.w","")</f>
        <v>bo.w</v>
      </c>
      <c r="E95" s="22"/>
      <c r="F95" s="22">
        <f>-(PARAM!$E$30/2-PARAM!$J$40)</f>
        <v>-77</v>
      </c>
      <c r="G95" s="22">
        <f>(PARAM!$G$6/2+PARAM!$G$30)</f>
        <v>15</v>
      </c>
      <c r="H95" s="22">
        <f>-(PARAM!$F$40/2)</f>
        <v>-30</v>
      </c>
      <c r="I95" s="22" t="s">
        <v>194</v>
      </c>
      <c r="J95" s="22">
        <v>0</v>
      </c>
      <c r="K95" s="22">
        <v>0</v>
      </c>
      <c r="L95" s="22">
        <v>0</v>
      </c>
      <c r="M95" s="22">
        <f>(PARAM!$E$30-2*PARAM!$J$40-PARAM!$I$40)/(PARAM!$H$40-1)</f>
        <v>77</v>
      </c>
      <c r="N95" s="22">
        <v>0</v>
      </c>
      <c r="O95" s="22">
        <v>0</v>
      </c>
      <c r="P95" s="22">
        <f>PARAM!$H$40-1</f>
        <v>2</v>
      </c>
      <c r="Q95" s="22">
        <v>0</v>
      </c>
      <c r="R95" s="22">
        <v>0</v>
      </c>
      <c r="S95" s="22">
        <f>-((PARAM!$F$30/2-PARAM!$G$40-PARAM!$F$40/2)/(PARAM!$E$40/2-1))</f>
        <v>-90</v>
      </c>
      <c r="T95" s="22">
        <f>PARAM!$E$40/2-1</f>
        <v>1</v>
      </c>
    </row>
    <row r="96" spans="2:6" x14ac:dyDescent="0.25">
      <c r="B96" s="21" t="s">
        <v>182</v>
      </c>
      <c r="C96" s="22" t="s">
        <v>200</v>
      </c>
      <c r="D96" s="22" t="s">
        <v>185</v>
      </c>
      <c r="E96" s="22" t="s">
        <v>199</v>
      </c>
      <c r="F96" s="22" t="s">
        <v>143</v>
      </c>
    </row>
    <row r="98" spans="1:1" x14ac:dyDescent="0.25">
      <c r="A98" s="12" t="s">
        <v>201</v>
      </c>
    </row>
    <row r="99" spans="1:1" x14ac:dyDescent="0.25">
      <c r="A99" s="12" t="s">
        <v>202</v>
      </c>
    </row>
    <row r="100" spans="1:12" x14ac:dyDescent="0.25">
      <c r="A100" s="12" t="s">
        <v>203</v>
      </c>
      <c r="B100" s="21" t="s">
        <v>182</v>
      </c>
      <c r="C100" s="22" t="s">
        <v>186</v>
      </c>
      <c r="D100" s="22" t="str">
        <f>IF(AND(PARAM!$C$6="H",PARAM!$H$15&gt;0),"pl.stf1","")</f>
        <v>pl.stf1</v>
      </c>
      <c r="E100" s="22" t="s">
        <v>143</v>
      </c>
      <c r="F100" s="22">
        <v>0</v>
      </c>
      <c r="G100" s="22">
        <f>-(PARAM!$F$6+PARAM!$G$6)/4</f>
        <v>-77.5</v>
      </c>
      <c r="H100" s="22">
        <f>PARAM!$G$7/2+PARAM!$E$15</f>
        <v>845.5</v>
      </c>
      <c r="I100" s="22" t="s">
        <v>184</v>
      </c>
      <c r="J100" s="22">
        <v>0</v>
      </c>
      <c r="K100" s="22">
        <v>0</v>
      </c>
      <c r="L100" s="22">
        <v>0</v>
      </c>
    </row>
    <row r="101" spans="1:12" x14ac:dyDescent="0.25">
      <c r="A101" s="12" t="s">
        <v>204</v>
      </c>
      <c r="B101" s="21" t="s">
        <v>182</v>
      </c>
      <c r="C101" s="22" t="s">
        <v>186</v>
      </c>
      <c r="D101" s="22" t="str">
        <f>IF(AND(PARAM!$C$6="H",PARAM!$H$15&gt;0),"pl.stf1","")</f>
        <v>pl.stf1</v>
      </c>
      <c r="E101" s="22" t="s">
        <v>143</v>
      </c>
      <c r="F101" s="22">
        <v>0</v>
      </c>
      <c r="G101" s="22">
        <f>(PARAM!$F$6+PARAM!$G$6)/4</f>
        <v>77.5</v>
      </c>
      <c r="H101" s="22">
        <f>PARAM!$G$7/2+PARAM!$E$15</f>
        <v>845.5</v>
      </c>
      <c r="I101" s="22" t="s">
        <v>184</v>
      </c>
      <c r="J101" s="22">
        <v>0</v>
      </c>
      <c r="K101" s="22">
        <v>0</v>
      </c>
      <c r="L101" s="22">
        <v>180</v>
      </c>
    </row>
    <row r="102" spans="2:12" x14ac:dyDescent="0.25">
      <c r="B102" s="21" t="s">
        <v>182</v>
      </c>
      <c r="C102" s="22" t="s">
        <v>186</v>
      </c>
      <c r="D102" s="22" t="str">
        <f>IF(AND(PARAM!$C$6="H",PARAM!$H$16&gt;0),"pl.stf2","")</f>
        <v>pl.stf2</v>
      </c>
      <c r="E102" s="22" t="s">
        <v>143</v>
      </c>
      <c r="F102" s="22">
        <v>0</v>
      </c>
      <c r="G102" s="22">
        <f>-(PARAM!$F$6+PARAM!$G$6)/4</f>
        <v>-77.5</v>
      </c>
      <c r="H102" s="22">
        <f>PARAM!$G$7/2+PARAM!$E$16</f>
        <v>554.5</v>
      </c>
      <c r="I102" s="22" t="s">
        <v>184</v>
      </c>
      <c r="J102" s="22">
        <v>0</v>
      </c>
      <c r="K102" s="22">
        <v>0</v>
      </c>
      <c r="L102" s="22">
        <v>0</v>
      </c>
    </row>
    <row r="103" spans="2:12" x14ac:dyDescent="0.25">
      <c r="B103" s="21" t="s">
        <v>182</v>
      </c>
      <c r="C103" s="22" t="s">
        <v>186</v>
      </c>
      <c r="D103" s="22" t="str">
        <f>IF(AND(PARAM!$C$6="H",PARAM!$H$16&gt;0),"pl.stf2","")</f>
        <v>pl.stf2</v>
      </c>
      <c r="E103" s="22" t="s">
        <v>143</v>
      </c>
      <c r="F103" s="22">
        <v>0</v>
      </c>
      <c r="G103" s="22">
        <f>(PARAM!$F$6+PARAM!$G$6)/4</f>
        <v>77.5</v>
      </c>
      <c r="H103" s="22">
        <f>PARAM!$G$7/2+PARAM!$E$16</f>
        <v>554.5</v>
      </c>
      <c r="I103" s="22" t="s">
        <v>184</v>
      </c>
      <c r="J103" s="22">
        <v>0</v>
      </c>
      <c r="K103" s="22">
        <v>0</v>
      </c>
      <c r="L103" s="22">
        <v>180</v>
      </c>
    </row>
    <row r="104" spans="2:12" x14ac:dyDescent="0.25">
      <c r="B104" s="21" t="s">
        <v>182</v>
      </c>
      <c r="C104" s="22" t="s">
        <v>186</v>
      </c>
      <c r="D104" s="22" t="str">
        <f>IF(AND(PARAM!$C$6="H",PARAM!$H$17&gt;0),"pl.stf3","")</f>
        <v/>
      </c>
      <c r="E104" s="22" t="s">
        <v>143</v>
      </c>
      <c r="F104" s="22">
        <v>0</v>
      </c>
      <c r="G104" s="22">
        <f>-(PARAM!$F$6+PARAM!$G$6)/4</f>
        <v>-77.5</v>
      </c>
      <c r="H104" s="22">
        <f>PARAM!$G$7/2+PARAM!$E$17</f>
        <v>700</v>
      </c>
      <c r="I104" s="22" t="s">
        <v>184</v>
      </c>
      <c r="J104" s="22">
        <v>0</v>
      </c>
      <c r="K104" s="22">
        <v>0</v>
      </c>
      <c r="L104" s="22">
        <v>0</v>
      </c>
    </row>
    <row r="105" spans="2:12" x14ac:dyDescent="0.25">
      <c r="B105" s="21" t="s">
        <v>182</v>
      </c>
      <c r="C105" s="22" t="s">
        <v>186</v>
      </c>
      <c r="D105" s="22" t="str">
        <f>IF(AND(PARAM!$C$6="H",PARAM!$H$17&gt;0),"pl.stf3","")</f>
        <v/>
      </c>
      <c r="E105" s="22" t="s">
        <v>143</v>
      </c>
      <c r="F105" s="22">
        <v>0</v>
      </c>
      <c r="G105" s="22">
        <f>(PARAM!$F$6+PARAM!$G$6)/4</f>
        <v>77.5</v>
      </c>
      <c r="H105" s="22">
        <f>PARAM!$G$7/2+PARAM!$E$17</f>
        <v>700</v>
      </c>
      <c r="I105" s="22" t="s">
        <v>184</v>
      </c>
      <c r="J105" s="22">
        <v>0</v>
      </c>
      <c r="K105" s="22">
        <v>0</v>
      </c>
      <c r="L105" s="22">
        <v>180</v>
      </c>
    </row>
    <row r="106" spans="2:12" x14ac:dyDescent="0.25">
      <c r="B106" s="21" t="s">
        <v>182</v>
      </c>
      <c r="C106" s="22" t="s">
        <v>186</v>
      </c>
      <c r="D106" s="22" t="str">
        <f>IF(AND(PARAM!$C$6="H",PARAM!$H$18&gt;0),"pl.stf4","")</f>
        <v/>
      </c>
      <c r="E106" s="22" t="s">
        <v>143</v>
      </c>
      <c r="F106" s="22">
        <v>0</v>
      </c>
      <c r="G106" s="22">
        <f>-(PARAM!$F$6+PARAM!$G$6)/4</f>
        <v>-77.5</v>
      </c>
      <c r="H106" s="22">
        <f>PARAM!$G$7/2+PARAM!$E$18</f>
        <v>700</v>
      </c>
      <c r="I106" s="22" t="s">
        <v>184</v>
      </c>
      <c r="J106" s="22">
        <v>0</v>
      </c>
      <c r="K106" s="22">
        <v>0</v>
      </c>
      <c r="L106" s="22">
        <v>0</v>
      </c>
    </row>
    <row r="107" spans="2:12" x14ac:dyDescent="0.25">
      <c r="B107" s="21" t="s">
        <v>182</v>
      </c>
      <c r="C107" s="22" t="s">
        <v>186</v>
      </c>
      <c r="D107" s="22" t="str">
        <f>IF(AND(PARAM!$C$6="H",PARAM!$H$18&gt;0),"pl.stf4","")</f>
        <v/>
      </c>
      <c r="E107" s="22" t="s">
        <v>143</v>
      </c>
      <c r="F107" s="22">
        <v>0</v>
      </c>
      <c r="G107" s="22">
        <f>(PARAM!$F$6+PARAM!$G$6)/4</f>
        <v>77.5</v>
      </c>
      <c r="H107" s="22">
        <f>PARAM!$G$7/2+PARAM!$E$18</f>
        <v>700</v>
      </c>
      <c r="I107" s="22" t="s">
        <v>184</v>
      </c>
      <c r="J107" s="22">
        <v>0</v>
      </c>
      <c r="K107" s="22">
        <v>0</v>
      </c>
      <c r="L107" s="22">
        <v>180</v>
      </c>
    </row>
    <row r="108" spans="2:12" x14ac:dyDescent="0.25">
      <c r="B108" s="21" t="s">
        <v>182</v>
      </c>
      <c r="C108" s="22" t="s">
        <v>186</v>
      </c>
      <c r="D108" s="22" t="str">
        <f>IF(AND(PARAM!$C$6="H",PARAM!$H$19&gt;0),"pl.stf5","")</f>
        <v/>
      </c>
      <c r="E108" s="22" t="s">
        <v>143</v>
      </c>
      <c r="F108" s="22">
        <v>0</v>
      </c>
      <c r="G108" s="22">
        <f>-(PARAM!$F$6+PARAM!$G$6)/4</f>
        <v>-77.5</v>
      </c>
      <c r="H108" s="22">
        <f>PARAM!$G$7/2+PARAM!$E$19</f>
        <v>700</v>
      </c>
      <c r="I108" s="22" t="s">
        <v>184</v>
      </c>
      <c r="J108" s="22">
        <v>0</v>
      </c>
      <c r="K108" s="22">
        <v>0</v>
      </c>
      <c r="L108" s="22">
        <v>0</v>
      </c>
    </row>
    <row r="109" spans="2:12" x14ac:dyDescent="0.25">
      <c r="B109" s="21" t="s">
        <v>182</v>
      </c>
      <c r="C109" s="22" t="s">
        <v>186</v>
      </c>
      <c r="D109" s="22" t="str">
        <f>IF(AND(PARAM!$C$6="H",PARAM!$H$19&gt;0),"pl.stf5","")</f>
        <v/>
      </c>
      <c r="E109" s="22" t="s">
        <v>143</v>
      </c>
      <c r="F109" s="22">
        <v>0</v>
      </c>
      <c r="G109" s="22">
        <f>(PARAM!$F$6+PARAM!$G$6)/4</f>
        <v>77.5</v>
      </c>
      <c r="H109" s="22">
        <f>PARAM!$G$7/2+PARAM!$E$19</f>
        <v>700</v>
      </c>
      <c r="I109" s="22" t="s">
        <v>184</v>
      </c>
      <c r="J109" s="22">
        <v>0</v>
      </c>
      <c r="K109" s="22">
        <v>0</v>
      </c>
      <c r="L109" s="22">
        <v>180</v>
      </c>
    </row>
    <row r="110" spans="2:12" x14ac:dyDescent="0.25">
      <c r="B110" s="21" t="s">
        <v>182</v>
      </c>
      <c r="C110" s="22" t="s">
        <v>186</v>
      </c>
      <c r="D110" s="22" t="str">
        <f>IF(AND(PARAM!$C$6="H",PARAM!$H$20&gt;0),"pl.stf6","")</f>
        <v/>
      </c>
      <c r="E110" s="22" t="s">
        <v>143</v>
      </c>
      <c r="F110" s="22">
        <v>0</v>
      </c>
      <c r="G110" s="22">
        <f>-(PARAM!$F$6+PARAM!$G$6)/4</f>
        <v>-77.5</v>
      </c>
      <c r="H110" s="22">
        <f>PARAM!$G$7/2+PARAM!$E$20</f>
        <v>700</v>
      </c>
      <c r="I110" s="22" t="s">
        <v>184</v>
      </c>
      <c r="J110" s="22">
        <v>0</v>
      </c>
      <c r="K110" s="22">
        <v>0</v>
      </c>
      <c r="L110" s="22">
        <v>0</v>
      </c>
    </row>
    <row r="111" spans="2:12" x14ac:dyDescent="0.25">
      <c r="B111" s="21" t="s">
        <v>182</v>
      </c>
      <c r="C111" s="22" t="s">
        <v>186</v>
      </c>
      <c r="D111" s="22" t="str">
        <f>IF(AND(PARAM!$C$6="H",PARAM!$H$20&gt;0),"pl.stf6","")</f>
        <v/>
      </c>
      <c r="E111" s="22" t="s">
        <v>143</v>
      </c>
      <c r="F111" s="22">
        <v>0</v>
      </c>
      <c r="G111" s="22">
        <f>(PARAM!$F$6+PARAM!$G$6)/4</f>
        <v>77.5</v>
      </c>
      <c r="H111" s="22">
        <f>PARAM!$G$7/2+PARAM!$E$20</f>
        <v>700</v>
      </c>
      <c r="I111" s="22" t="s">
        <v>184</v>
      </c>
      <c r="J111" s="22">
        <v>0</v>
      </c>
      <c r="K111" s="22">
        <v>0</v>
      </c>
      <c r="L111" s="22">
        <v>180</v>
      </c>
    </row>
    <row r="112" spans="2:12" x14ac:dyDescent="0.25">
      <c r="B112" s="21" t="s">
        <v>182</v>
      </c>
      <c r="C112" s="22" t="s">
        <v>186</v>
      </c>
      <c r="D112" s="22" t="str">
        <f>IF(AND(PARAM!$C$6="H",PARAM!$H$21&gt;0),"pl.stf7","")</f>
        <v/>
      </c>
      <c r="E112" s="22" t="s">
        <v>143</v>
      </c>
      <c r="F112" s="22">
        <v>0</v>
      </c>
      <c r="G112" s="22">
        <f>-(PARAM!$F$6+PARAM!$G$6)/4</f>
        <v>-77.5</v>
      </c>
      <c r="H112" s="22">
        <f>PARAM!$G$7/2+PARAM!$E$21</f>
        <v>700</v>
      </c>
      <c r="I112" s="22" t="s">
        <v>184</v>
      </c>
      <c r="J112" s="22">
        <v>0</v>
      </c>
      <c r="K112" s="22">
        <v>0</v>
      </c>
      <c r="L112" s="22">
        <v>0</v>
      </c>
    </row>
    <row r="113" spans="2:12" x14ac:dyDescent="0.25">
      <c r="B113" s="21" t="s">
        <v>182</v>
      </c>
      <c r="C113" s="22" t="s">
        <v>186</v>
      </c>
      <c r="D113" s="22" t="str">
        <f>IF(AND(PARAM!$C$6="H",PARAM!$H$21&gt;0),"pl.stf7","")</f>
        <v/>
      </c>
      <c r="E113" s="22" t="s">
        <v>143</v>
      </c>
      <c r="F113" s="22">
        <v>0</v>
      </c>
      <c r="G113" s="22">
        <f>(PARAM!$F$6+PARAM!$G$6)/4</f>
        <v>77.5</v>
      </c>
      <c r="H113" s="22">
        <f>PARAM!$G$7/2+PARAM!$E$21</f>
        <v>700</v>
      </c>
      <c r="I113" s="22" t="s">
        <v>184</v>
      </c>
      <c r="J113" s="22">
        <v>0</v>
      </c>
      <c r="K113" s="22">
        <v>0</v>
      </c>
      <c r="L113" s="22">
        <v>180</v>
      </c>
    </row>
    <row r="114" spans="2:12" x14ac:dyDescent="0.25">
      <c r="B114" s="21" t="s">
        <v>182</v>
      </c>
      <c r="C114" s="22" t="s">
        <v>186</v>
      </c>
      <c r="D114" s="22" t="str">
        <f>IF(AND(PARAM!$C$6="H",PARAM!$H$22&gt;0),"pl.stf8","")</f>
        <v/>
      </c>
      <c r="E114" s="22" t="s">
        <v>143</v>
      </c>
      <c r="F114" s="22">
        <v>0</v>
      </c>
      <c r="G114" s="22">
        <f>-(PARAM!$F$6+PARAM!$G$6)/4</f>
        <v>-77.5</v>
      </c>
      <c r="H114" s="22">
        <f>PARAM!$G$7/2+PARAM!$E$22</f>
        <v>700</v>
      </c>
      <c r="I114" s="22" t="s">
        <v>184</v>
      </c>
      <c r="J114" s="22">
        <v>0</v>
      </c>
      <c r="K114" s="22">
        <v>0</v>
      </c>
      <c r="L114" s="22">
        <v>0</v>
      </c>
    </row>
    <row r="115" spans="2:12" x14ac:dyDescent="0.25">
      <c r="B115" s="21" t="s">
        <v>182</v>
      </c>
      <c r="C115" s="22" t="s">
        <v>186</v>
      </c>
      <c r="D115" s="22" t="str">
        <f>IF(AND(PARAM!$C$6="H",PARAM!$H$22&gt;0),"pl.stf8","")</f>
        <v/>
      </c>
      <c r="E115" s="22" t="s">
        <v>143</v>
      </c>
      <c r="F115" s="22">
        <v>0</v>
      </c>
      <c r="G115" s="22">
        <f>(PARAM!$F$6+PARAM!$G$6)/4</f>
        <v>77.5</v>
      </c>
      <c r="H115" s="22">
        <f>PARAM!$G$7/2+PARAM!$E$22</f>
        <v>700</v>
      </c>
      <c r="I115" s="22" t="s">
        <v>184</v>
      </c>
      <c r="J115" s="22">
        <v>0</v>
      </c>
      <c r="K115" s="22">
        <v>0</v>
      </c>
      <c r="L115" s="22">
        <v>180</v>
      </c>
    </row>
    <row r="117" spans="1:1" x14ac:dyDescent="0.25">
      <c r="A117" s="12" t="s">
        <v>205</v>
      </c>
    </row>
    <row r="118" spans="1:11" x14ac:dyDescent="0.25">
      <c r="A118" s="12" t="s">
        <v>18</v>
      </c>
      <c r="B118" s="21" t="s">
        <v>206</v>
      </c>
      <c r="C118" s="22" t="s">
        <v>207</v>
      </c>
      <c r="D118" s="22" t="s">
        <v>186</v>
      </c>
      <c r="E118" s="22" t="s">
        <v>208</v>
      </c>
      <c r="F118" s="22">
        <v>0</v>
      </c>
      <c r="G118" s="22">
        <v>0</v>
      </c>
      <c r="H118" s="22">
        <f>-PARAM!$G$7/2</f>
        <v>-700</v>
      </c>
      <c r="I118" s="22">
        <v>0</v>
      </c>
      <c r="J118" s="22">
        <v>0</v>
      </c>
      <c r="K118" s="22">
        <f>PARAM!$J$6</f>
        <v>0</v>
      </c>
    </row>
    <row r="119" spans="1:11" x14ac:dyDescent="0.25">
      <c r="A119" s="12" t="s">
        <v>209</v>
      </c>
      <c r="B119" s="21" t="s">
        <v>206</v>
      </c>
      <c r="C119" s="22" t="s">
        <v>207</v>
      </c>
      <c r="D119" s="22" t="s">
        <v>183</v>
      </c>
      <c r="E119" s="22" t="s">
        <v>208</v>
      </c>
      <c r="F119" s="22">
        <v>0</v>
      </c>
      <c r="G119" s="22">
        <v>0</v>
      </c>
      <c r="H119" s="22">
        <f>(PARAM!$G$7/2+IF(PARAM!$C$6="H",PARAM!$J$28,2*PARAM!$G$31))</f>
        <v>700</v>
      </c>
      <c r="I119" s="22">
        <v>0</v>
      </c>
      <c r="J119" s="22">
        <v>0</v>
      </c>
      <c r="K119" s="22">
        <f>PARAM!$J$6</f>
        <v>0</v>
      </c>
    </row>
    <row r="120" spans="1:11" x14ac:dyDescent="0.25">
      <c r="A120" s="12" t="s">
        <v>19</v>
      </c>
      <c r="B120" s="21" t="s">
        <v>206</v>
      </c>
      <c r="C120" s="22" t="s">
        <v>207</v>
      </c>
      <c r="D120" s="22" t="s">
        <v>187</v>
      </c>
      <c r="E120" s="22" t="s">
        <v>208</v>
      </c>
      <c r="F120" s="22">
        <v>0</v>
      </c>
      <c r="G120" s="22">
        <v>0</v>
      </c>
      <c r="H120" s="22">
        <f>-((PARAM!$G$7/2+IF(PARAM!$C$6="H",PARAM!$J$28,2*PARAM!$G$31))+MAX(1,PARAM!$I$7))</f>
        <v>-1400</v>
      </c>
      <c r="I120" s="22">
        <v>0</v>
      </c>
      <c r="J120" s="22">
        <v>0</v>
      </c>
      <c r="K120" s="22">
        <f>PARAM!$J$6</f>
        <v>0</v>
      </c>
    </row>
    <row r="121" spans="1:11" x14ac:dyDescent="0.25">
      <c r="A121" s="12" t="s">
        <v>210</v>
      </c>
      <c r="B121" s="21" t="s">
        <v>206</v>
      </c>
      <c r="C121" s="22" t="s">
        <v>207</v>
      </c>
      <c r="D121" s="22" t="s">
        <v>190</v>
      </c>
      <c r="E121" s="22" t="s">
        <v>208</v>
      </c>
      <c r="F121" s="22">
        <f>ROUND((IF(PARAM!$C$6="H",(PARAM!$E$6/2+PARAM!$G$28/2),0))*COS(RADIANS(PARAM!$J$6)),6)</f>
        <v>156</v>
      </c>
      <c r="G121" s="22">
        <f>ROUND((IF(PARAM!$C$6="H",(PARAM!$E$6/2+PARAM!$G$28/2),0))*SIN(RADIANS(PARAM!$J$6)),6)</f>
        <v>0</v>
      </c>
      <c r="H121" s="22">
        <f>(PARAM!$G$7/2+IF(PARAM!$C$6="H",PARAM!$J$28/2,PARAM!$G$31))+IF(PARAM!$C$6="H",0,-PARAM!$G$31/2)</f>
        <v>700</v>
      </c>
      <c r="I121" s="22">
        <v>0</v>
      </c>
      <c r="J121" s="22">
        <v>0</v>
      </c>
      <c r="K121" s="22">
        <f>PARAM!$J$6</f>
        <v>0</v>
      </c>
    </row>
    <row r="122" spans="2:11" x14ac:dyDescent="0.25">
      <c r="B122" s="21" t="s">
        <v>206</v>
      </c>
      <c r="C122" s="22" t="s">
        <v>207</v>
      </c>
      <c r="D122" s="22" t="s">
        <v>200</v>
      </c>
      <c r="E122" s="22" t="s">
        <v>208</v>
      </c>
      <c r="F122" s="22">
        <f>ROUND((IF(PARAM!$C$6="H",(PARAM!$E$6/2+PARAM!$G$28/2),0))*COS(RADIANS(PARAM!$J$6)),6)</f>
        <v>156</v>
      </c>
      <c r="G122" s="22">
        <f>ROUND((IF(PARAM!$C$6="H",(PARAM!$E$6/2+PARAM!$G$28/2),0))*SIN(RADIANS(PARAM!$J$6)),6)</f>
        <v>0</v>
      </c>
      <c r="H122" s="22">
        <f>-(PARAM!$G$7/2+IF(PARAM!$C$6="H",PARAM!$J$28/2,PARAM!$G$31))+IF(PARAM!$C$6="H",0,PARAM!$G$31/2)</f>
        <v>-700</v>
      </c>
      <c r="I122" s="22">
        <v>0</v>
      </c>
      <c r="J122" s="22">
        <v>0</v>
      </c>
      <c r="K122" s="22">
        <f>PARAM!$J$6</f>
        <v>0</v>
      </c>
    </row>
    <row r="124" spans="1:1" x14ac:dyDescent="0.25">
      <c r="A124" s="12" t="s">
        <v>211</v>
      </c>
    </row>
    <row r="125" spans="1:14" x14ac:dyDescent="0.25">
      <c r="A125" s="12" t="s">
        <v>212</v>
      </c>
      <c r="B125" s="21" t="s">
        <v>141</v>
      </c>
      <c r="C125" s="22" t="s">
        <v>213</v>
      </c>
      <c r="D125" s="22" t="str">
        <f>PARAM!$C$8</f>
        <v>SS275</v>
      </c>
      <c r="E125" s="22">
        <f>MAX(1,PARAM!$J$59)</f>
        <v>900</v>
      </c>
      <c r="F125" s="22" t="s">
        <v>14</v>
      </c>
      <c r="G125" s="22" t="s">
        <v>143</v>
      </c>
      <c r="H125" s="22">
        <f>PARAM!$E$59</f>
        <v>300</v>
      </c>
      <c r="I125" s="22">
        <f>PARAM!$F$59</f>
        <v>150</v>
      </c>
      <c r="J125" s="22">
        <f>PARAM!$F$59</f>
        <v>150</v>
      </c>
      <c r="K125" s="22">
        <f>PARAM!$G$59</f>
        <v>6.5</v>
      </c>
      <c r="L125" s="22">
        <f>PARAM!$H$59</f>
        <v>9</v>
      </c>
      <c r="M125" s="22">
        <f>PARAM!$H$59</f>
        <v>9</v>
      </c>
      <c r="N125" s="22">
        <f>PARAM!$I$59</f>
        <v>13</v>
      </c>
    </row>
    <row r="126" spans="2:14" x14ac:dyDescent="0.25">
      <c r="B126" s="21" t="s">
        <v>141</v>
      </c>
      <c r="C126" s="22" t="s">
        <v>214</v>
      </c>
      <c r="D126" s="22" t="str">
        <f>PARAM!$C$8</f>
        <v>SS275</v>
      </c>
      <c r="E126" s="22">
        <f>MAX(1,PARAM!$J$60)</f>
        <v>900</v>
      </c>
      <c r="F126" s="22" t="s">
        <v>14</v>
      </c>
      <c r="G126" s="22" t="s">
        <v>143</v>
      </c>
      <c r="H126" s="22">
        <f>PARAM!$E$60</f>
        <v>300</v>
      </c>
      <c r="I126" s="22">
        <f>PARAM!$F$60</f>
        <v>150</v>
      </c>
      <c r="J126" s="22">
        <f>PARAM!$F$60</f>
        <v>150</v>
      </c>
      <c r="K126" s="22">
        <f>PARAM!$G$60</f>
        <v>6.5</v>
      </c>
      <c r="L126" s="22">
        <f>PARAM!$H$60</f>
        <v>9</v>
      </c>
      <c r="M126" s="22">
        <f>PARAM!$H$60</f>
        <v>9</v>
      </c>
      <c r="N126" s="22">
        <f>PARAM!$I$60</f>
        <v>13</v>
      </c>
    </row>
    <row r="127" spans="2:14" x14ac:dyDescent="0.25">
      <c r="B127" s="21" t="s">
        <v>141</v>
      </c>
      <c r="C127" s="22" t="s">
        <v>215</v>
      </c>
      <c r="D127" s="22" t="str">
        <f>PARAM!$C$8</f>
        <v>SS275</v>
      </c>
      <c r="E127" s="22">
        <f>MAX(1,PARAM!$J$61)</f>
        <v>900</v>
      </c>
      <c r="F127" s="22" t="s">
        <v>14</v>
      </c>
      <c r="G127" s="22" t="s">
        <v>143</v>
      </c>
      <c r="H127" s="22">
        <f>PARAM!$E$61</f>
        <v>300</v>
      </c>
      <c r="I127" s="22">
        <f>PARAM!$F$61</f>
        <v>150</v>
      </c>
      <c r="J127" s="22">
        <f>PARAM!$F$61</f>
        <v>150</v>
      </c>
      <c r="K127" s="22">
        <f>PARAM!$G$61</f>
        <v>6.5</v>
      </c>
      <c r="L127" s="22">
        <f>PARAM!$H$61</f>
        <v>9</v>
      </c>
      <c r="M127" s="22">
        <f>PARAM!$H$61</f>
        <v>9</v>
      </c>
      <c r="N127" s="22">
        <f>PARAM!$I$61</f>
        <v>13</v>
      </c>
    </row>
    <row r="128" spans="2:14" x14ac:dyDescent="0.25">
      <c r="B128" s="21" t="s">
        <v>141</v>
      </c>
      <c r="C128" s="22" t="s">
        <v>216</v>
      </c>
      <c r="D128" s="22" t="str">
        <f>PARAM!$C$8</f>
        <v>SS275</v>
      </c>
      <c r="E128" s="22">
        <f>MAX(1,PARAM!$J$62)</f>
        <v>1</v>
      </c>
      <c r="F128" s="22" t="s">
        <v>14</v>
      </c>
      <c r="G128" s="22" t="s">
        <v>143</v>
      </c>
      <c r="H128" s="22">
        <f>PARAM!$E$62</f>
        <v>300</v>
      </c>
      <c r="I128" s="22">
        <f>PARAM!$F$62</f>
        <v>150</v>
      </c>
      <c r="J128" s="22">
        <f>PARAM!$F$62</f>
        <v>150</v>
      </c>
      <c r="K128" s="22">
        <f>PARAM!$G$62</f>
        <v>6.5</v>
      </c>
      <c r="L128" s="22">
        <f>PARAM!$H$62</f>
        <v>9</v>
      </c>
      <c r="M128" s="22">
        <f>PARAM!$H$62</f>
        <v>9</v>
      </c>
      <c r="N128" s="22">
        <f>PARAM!$I$62</f>
        <v>13</v>
      </c>
    </row>
    <row r="130" spans="1:1" x14ac:dyDescent="0.25">
      <c r="A130" s="12" t="s">
        <v>217</v>
      </c>
    </row>
    <row r="131" spans="1:9" x14ac:dyDescent="0.25">
      <c r="A131" s="12" t="s">
        <v>218</v>
      </c>
      <c r="B131" s="21" t="s">
        <v>148</v>
      </c>
      <c r="C131" s="22" t="s">
        <v>219</v>
      </c>
      <c r="D131" s="22" t="str">
        <f>PARAM!$C$8</f>
        <v>SS275</v>
      </c>
      <c r="E131" s="22">
        <f>MAX(1,IFERROR(VLOOKUP(PARAM!$C$59,PARAM!$B$48:$K$53,7,FALSE),0))</f>
        <v>20</v>
      </c>
      <c r="F131" s="22" t="s">
        <v>150</v>
      </c>
      <c r="G131" s="22" t="s">
        <v>143</v>
      </c>
      <c r="H131" s="22">
        <f>MAX(1,IFERROR(VLOOKUP(PARAM!$C$59,PARAM!$B$48:$K$53,5,FALSE),0))</f>
        <v>230</v>
      </c>
      <c r="I131" s="22">
        <f>MAX(1,(IFERROR(VLOOKUP(PARAM!$C$59,PARAM!$B$48:$K$53,10,FALSE),0)*(IFERROR(VLOOKUP(PARAM!$C$59,PARAM!$B$48:$K$53,11,FALSE),0)-1)+2*IFERROR(VLOOKUP(PARAM!$C$59,PARAM!$B$48:$K$53,9,FALSE),0)))</f>
        <v>230</v>
      </c>
    </row>
    <row r="132" spans="2:9" x14ac:dyDescent="0.25">
      <c r="B132" s="21" t="s">
        <v>148</v>
      </c>
      <c r="C132" s="22" t="s">
        <v>220</v>
      </c>
      <c r="D132" s="22" t="str">
        <f>PARAM!$C$8</f>
        <v>SS275</v>
      </c>
      <c r="E132" s="22">
        <f>MAX(1,IFERROR(VLOOKUP(PARAM!$C$60,PARAM!$B$48:$K$53,7,FALSE),0))</f>
        <v>10</v>
      </c>
      <c r="F132" s="22" t="s">
        <v>150</v>
      </c>
      <c r="G132" s="22" t="s">
        <v>143</v>
      </c>
      <c r="H132" s="22">
        <f>MAX(1,IFERROR(VLOOKUP(PARAM!$C$60,PARAM!$B$48:$K$53,5,FALSE),0))</f>
        <v>140</v>
      </c>
      <c r="I132" s="22">
        <f>MAX(1,(IFERROR(VLOOKUP(PARAM!$C$60,PARAM!$B$48:$K$53,10,FALSE),0)*(IFERROR(VLOOKUP(PARAM!$C$60,PARAM!$B$48:$K$53,11,FALSE),0)-1)+2*IFERROR(VLOOKUP(PARAM!$C$60,PARAM!$B$48:$K$53,9,FALSE),0)))</f>
        <v>230</v>
      </c>
    </row>
    <row r="133" spans="2:9" x14ac:dyDescent="0.25">
      <c r="B133" s="21" t="s">
        <v>148</v>
      </c>
      <c r="C133" s="22" t="s">
        <v>221</v>
      </c>
      <c r="D133" s="22" t="str">
        <f>PARAM!$C$8</f>
        <v>SS275</v>
      </c>
      <c r="E133" s="22">
        <f>MAX(1,IFERROR(VLOOKUP(PARAM!$C$61,PARAM!$B$48:$K$53,7,FALSE),0))</f>
        <v>10</v>
      </c>
      <c r="F133" s="22" t="s">
        <v>150</v>
      </c>
      <c r="G133" s="22" t="s">
        <v>143</v>
      </c>
      <c r="H133" s="22">
        <f>MAX(1,IFERROR(VLOOKUP(PARAM!$C$61,PARAM!$B$48:$K$53,5,FALSE),0))</f>
        <v>140</v>
      </c>
      <c r="I133" s="22">
        <f>MAX(1,(IFERROR(VLOOKUP(PARAM!$C$61,PARAM!$B$48:$K$53,10,FALSE),0)*(IFERROR(VLOOKUP(PARAM!$C$61,PARAM!$B$48:$K$53,11,FALSE),0)-1)+2*IFERROR(VLOOKUP(PARAM!$C$61,PARAM!$B$48:$K$53,9,FALSE),0)))</f>
        <v>230</v>
      </c>
    </row>
    <row r="134" spans="2:9" x14ac:dyDescent="0.25">
      <c r="B134" s="21" t="s">
        <v>148</v>
      </c>
      <c r="C134" s="22" t="s">
        <v>222</v>
      </c>
      <c r="D134" s="22" t="str">
        <f>PARAM!$C$8</f>
        <v>SS275</v>
      </c>
      <c r="E134" s="22">
        <f>MAX(1,IFERROR(VLOOKUP(PARAM!$C$62,PARAM!$B$48:$K$53,7,FALSE),0))</f>
        <v>10</v>
      </c>
      <c r="F134" s="22" t="s">
        <v>150</v>
      </c>
      <c r="G134" s="22" t="s">
        <v>143</v>
      </c>
      <c r="H134" s="22">
        <f>MAX(1,IFERROR(VLOOKUP(PARAM!$C$62,PARAM!$B$48:$K$53,5,FALSE),0))</f>
        <v>140</v>
      </c>
      <c r="I134" s="22">
        <f>MAX(1,(IFERROR(VLOOKUP(PARAM!$C$62,PARAM!$B$48:$K$53,10,FALSE),0)*(IFERROR(VLOOKUP(PARAM!$C$62,PARAM!$B$48:$K$53,11,FALSE),0)-1)+2*IFERROR(VLOOKUP(PARAM!$C$62,PARAM!$B$48:$K$53,9,FALSE),0)))</f>
        <v>230</v>
      </c>
    </row>
    <row r="135" spans="1:12" x14ac:dyDescent="0.25">
      <c r="A135" s="12" t="s">
        <v>223</v>
      </c>
      <c r="B135" s="21" t="s">
        <v>156</v>
      </c>
      <c r="C135" s="22" t="s">
        <v>224</v>
      </c>
      <c r="D135" s="22" t="str">
        <f>PARAM!$G$37</f>
        <v>F10T</v>
      </c>
      <c r="E135" s="22">
        <f>PARAM!$E$37</f>
        <v>16</v>
      </c>
      <c r="F135" s="22">
        <f>MAX(1,CEILING(IF(IFERROR(VLOOKUP(PARAM!$C$59,PARAM!$B$48:$K$53,2,FALSE),"")="end plate",IF(PARAM!$C$6="H",IF(MOD(PARAM!$J$6,180)=0,PARAM!$H$6,PARAM!$G$6)+IFERROR(VLOOKUP(PARAM!$C$59,PARAM!$B$48:$K$53,7,FALSE),0),2*IFERROR(VLOOKUP(PARAM!$C$59,PARAM!$B$48:$K$53,7,FALSE),0)),IFERROR(VLOOKUP(PARAM!$C$59,PARAM!$B$48:$K$53,7,FALSE),0)+PARAM!$G$59)+1.1*PARAM!$E$37,5))</f>
        <v>55</v>
      </c>
      <c r="G135" s="22">
        <f>PARAM!$F$37</f>
        <v>18</v>
      </c>
      <c r="H135" s="22"/>
      <c r="I135" s="22"/>
      <c r="J135" s="22"/>
      <c r="K135" s="22">
        <f>0.9*PARAM!$E$37</f>
        <v>14.4</v>
      </c>
      <c r="L135"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36" spans="2:12" x14ac:dyDescent="0.25">
      <c r="B136" s="21" t="s">
        <v>156</v>
      </c>
      <c r="C136" s="22" t="s">
        <v>225</v>
      </c>
      <c r="D136" s="22" t="str">
        <f>PARAM!$G$37</f>
        <v>F10T</v>
      </c>
      <c r="E136" s="22">
        <f>PARAM!$E$37</f>
        <v>16</v>
      </c>
      <c r="F136" s="22">
        <f>MAX(1,CEILING(IF(IFERROR(VLOOKUP(PARAM!$C$60,PARAM!$B$48:$K$53,2,FALSE),"")="end plate",IF(PARAM!$C$6="H",IF(MOD(PARAM!$J$6,180)=0,PARAM!$H$6,PARAM!$G$6)+IFERROR(VLOOKUP(PARAM!$C$60,PARAM!$B$48:$K$53,7,FALSE),0),2*IFERROR(VLOOKUP(PARAM!$C$60,PARAM!$B$48:$K$53,7,FALSE),0)),IFERROR(VLOOKUP(PARAM!$C$60,PARAM!$B$48:$K$53,7,FALSE),0)+PARAM!$G$60)+1.1*PARAM!$E$37,5))</f>
        <v>35</v>
      </c>
      <c r="G136" s="22">
        <f>PARAM!$F$37</f>
        <v>18</v>
      </c>
      <c r="H136" s="22"/>
      <c r="I136" s="22"/>
      <c r="J136" s="22"/>
      <c r="K136" s="22">
        <f>0.9*PARAM!$E$37</f>
        <v>14.4</v>
      </c>
      <c r="L136"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37" spans="2:12" x14ac:dyDescent="0.25">
      <c r="B137" s="21" t="s">
        <v>156</v>
      </c>
      <c r="C137" s="22" t="s">
        <v>226</v>
      </c>
      <c r="D137" s="22" t="str">
        <f>PARAM!$G$37</f>
        <v>F10T</v>
      </c>
      <c r="E137" s="22">
        <f>PARAM!$E$37</f>
        <v>16</v>
      </c>
      <c r="F137" s="22">
        <f>MAX(1,CEILING(IF(IFERROR(VLOOKUP(PARAM!$C$61,PARAM!$B$48:$K$53,2,FALSE),"")="end plate",IF(PARAM!$C$6="H",IF(MOD(PARAM!$J$6,180)=0,PARAM!$G$6,PARAM!$H$6)+IFERROR(VLOOKUP(PARAM!$C$61,PARAM!$B$48:$K$53,7,FALSE),0),2*IFERROR(VLOOKUP(PARAM!$C$61,PARAM!$B$48:$K$53,7,FALSE),0)),IFERROR(VLOOKUP(PARAM!$C$61,PARAM!$B$48:$K$53,7,FALSE),0)+PARAM!$G$61)+1.1*PARAM!$E$37,5))</f>
        <v>35</v>
      </c>
      <c r="G137" s="22">
        <f>PARAM!$F$37</f>
        <v>18</v>
      </c>
      <c r="H137" s="22"/>
      <c r="I137" s="22"/>
      <c r="J137" s="22"/>
      <c r="K137" s="22">
        <f>0.9*PARAM!$E$37</f>
        <v>14.4</v>
      </c>
      <c r="L137"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38" spans="2:12" x14ac:dyDescent="0.25">
      <c r="B138" s="21" t="s">
        <v>156</v>
      </c>
      <c r="C138" s="22" t="s">
        <v>227</v>
      </c>
      <c r="D138" s="22" t="str">
        <f>PARAM!$G$37</f>
        <v>F10T</v>
      </c>
      <c r="E138" s="22">
        <f>PARAM!$E$37</f>
        <v>16</v>
      </c>
      <c r="F138" s="22">
        <f>MAX(1,CEILING(IF(IFERROR(VLOOKUP(PARAM!$C$62,PARAM!$B$48:$K$53,2,FALSE),"")="end plate",IF(PARAM!$C$6="H",IF(MOD(PARAM!$J$6,180)=0,PARAM!$G$6,PARAM!$H$6)+IFERROR(VLOOKUP(PARAM!$C$62,PARAM!$B$48:$K$53,7,FALSE),0),2*IFERROR(VLOOKUP(PARAM!$C$62,PARAM!$B$48:$K$53,7,FALSE),0)),IFERROR(VLOOKUP(PARAM!$C$62,PARAM!$B$48:$K$53,7,FALSE),0)+PARAM!$G$62)+1.1*PARAM!$E$37,5))</f>
        <v>35</v>
      </c>
      <c r="G138" s="22">
        <f>PARAM!$F$37</f>
        <v>18</v>
      </c>
      <c r="H138" s="22"/>
      <c r="I138" s="22"/>
      <c r="J138" s="22"/>
      <c r="K138" s="22">
        <f>0.9*PARAM!$E$37</f>
        <v>14.4</v>
      </c>
      <c r="L138"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40" spans="1:1" x14ac:dyDescent="0.25">
      <c r="A140" s="12" t="s">
        <v>228</v>
      </c>
    </row>
    <row r="142" spans="1:1" x14ac:dyDescent="0.25">
      <c r="A142" s="12" t="s">
        <v>229</v>
      </c>
    </row>
    <row r="143" spans="1:12" x14ac:dyDescent="0.25">
      <c r="A143" s="12" t="s">
        <v>230</v>
      </c>
      <c r="B143" s="21" t="s">
        <v>182</v>
      </c>
      <c r="C143" s="22" t="s">
        <v>231</v>
      </c>
      <c r="D143" s="22" t="str">
        <f>IF(AND(PARAM!$J$59&gt;0,IFERROR(VLOOKUP(PARAM!$C$59,PARAM!$B$48:$K$53,2,FALSE),"")="end plate"),"pl.cna","")</f>
        <v>pl.cna</v>
      </c>
      <c r="E143" s="22" t="s">
        <v>143</v>
      </c>
      <c r="F143" s="22">
        <f>-IFERROR(VLOOKUP(PARAM!$C$59,PARAM!$B$48:$K$53,7,FALSE),0)/2</f>
        <v>-10</v>
      </c>
      <c r="G143" s="22">
        <f>0</f>
        <v>0</v>
      </c>
      <c r="H143" s="22">
        <v>0</v>
      </c>
      <c r="I143" s="22" t="s">
        <v>192</v>
      </c>
      <c r="J143" s="22">
        <v>0</v>
      </c>
      <c r="K143" s="22">
        <v>0</v>
      </c>
      <c r="L143" s="22">
        <v>0</v>
      </c>
    </row>
    <row r="144" spans="1:12" x14ac:dyDescent="0.25">
      <c r="A144" s="12" t="s">
        <v>232</v>
      </c>
      <c r="B144" s="21" t="s">
        <v>182</v>
      </c>
      <c r="C144" s="22" t="s">
        <v>231</v>
      </c>
      <c r="D144" s="22" t="str">
        <f>IF(AND(PARAM!$J$59&gt;0,IFERROR(VLOOKUP(PARAM!$C$59,PARAM!$B$48:$K$53,2,FALSE),"")="end plate",NOT(PARAM!$C$6="H")),"pl.cna","")</f>
        <v/>
      </c>
      <c r="E144" s="22" t="s">
        <v>143</v>
      </c>
      <c r="F144" s="22">
        <f>-1.5*IFERROR(VLOOKUP(PARAM!$C$59,PARAM!$B$48:$K$53,7,FALSE),0)</f>
        <v>-30</v>
      </c>
      <c r="G144" s="22">
        <f>0</f>
        <v>0</v>
      </c>
      <c r="H144" s="22">
        <v>0</v>
      </c>
      <c r="I144" s="22" t="s">
        <v>192</v>
      </c>
      <c r="J144" s="22">
        <v>0</v>
      </c>
      <c r="K144" s="22">
        <v>0</v>
      </c>
      <c r="L144" s="22">
        <v>0</v>
      </c>
    </row>
    <row r="145" spans="1:12" x14ac:dyDescent="0.25">
      <c r="A145" s="12" t="s">
        <v>233</v>
      </c>
      <c r="B145" s="21" t="s">
        <v>182</v>
      </c>
      <c r="C145" s="22" t="s">
        <v>231</v>
      </c>
      <c r="D145" s="22" t="str">
        <f>IF(AND(PARAM!$J$59&gt;0,IFERROR(VLOOKUP(PARAM!$C$59,PARAM!$B$48:$K$53,2,FALSE),"")="fin plate"),"pl.cna","")</f>
        <v/>
      </c>
      <c r="E145" s="22" t="s">
        <v>143</v>
      </c>
      <c r="F145" s="22">
        <f>IFERROR(VLOOKUP(PARAM!$C$59,PARAM!$B$48:$K$53,5,FALSE),0)/2-IFERROR(VLOOKUP(PARAM!$C$59,PARAM!$B$48:$K$53,4,FALSE),0)</f>
        <v>115</v>
      </c>
      <c r="G145" s="22">
        <f>PARAM!$G$59/2+IFERROR(VLOOKUP(PARAM!$C$59,PARAM!$B$48:$K$53,7,FALSE),0)/2</f>
        <v>13.25</v>
      </c>
      <c r="H145" s="22">
        <v>0</v>
      </c>
      <c r="I145" s="22" t="s">
        <v>194</v>
      </c>
      <c r="J145" s="22">
        <v>0</v>
      </c>
      <c r="K145" s="22">
        <v>0</v>
      </c>
      <c r="L145" s="22">
        <v>0</v>
      </c>
    </row>
    <row r="146" spans="1:12" x14ac:dyDescent="0.25">
      <c r="A146" s="12" t="s">
        <v>234</v>
      </c>
      <c r="B146" s="21" t="s">
        <v>182</v>
      </c>
      <c r="C146" s="22" t="s">
        <v>231</v>
      </c>
      <c r="D146" s="22" t="str">
        <f>IF(PARAM!$J$59&gt;0,"sc.bma","")</f>
        <v>sc.bma</v>
      </c>
      <c r="E146" s="22"/>
      <c r="F146" s="22">
        <v>0</v>
      </c>
      <c r="G146" s="22">
        <v>0</v>
      </c>
      <c r="H146" s="22">
        <v>0</v>
      </c>
      <c r="I146" s="22" t="s">
        <v>192</v>
      </c>
      <c r="J146" s="22">
        <v>0</v>
      </c>
      <c r="K146" s="22">
        <v>0</v>
      </c>
      <c r="L146" s="22">
        <v>0</v>
      </c>
    </row>
    <row r="147" spans="1:20" x14ac:dyDescent="0.25">
      <c r="A147" s="12" t="s">
        <v>235</v>
      </c>
      <c r="B147" s="21" t="s">
        <v>182</v>
      </c>
      <c r="C147" s="22" t="s">
        <v>231</v>
      </c>
      <c r="D147" s="22" t="str">
        <f>IF(OR(PARAM!$J$59&lt;=0,AND(NOT(IFERROR(VLOOKUP(PARAM!$C$59,PARAM!$B$48:$K$53,2,FALSE),"")="end plate"),NOT(IFERROR(VLOOKUP(PARAM!$C$59,PARAM!$B$48:$K$53,2,FALSE),"")="fin plate"))),"","bo.cna")</f>
        <v>bo.cna</v>
      </c>
      <c r="E147" s="22"/>
      <c r="F147" s="22">
        <f>IF(IFERROR(VLOOKUP(PARAM!$C$59,PARAM!$B$48:$K$53,2,FALSE),"")="end plate",IF(PARAM!$C$6="H",-((IF(MOD(PARAM!$J$6,180)=0,PARAM!$H$6,PARAM!$G$6))+IFERROR(VLOOKUP(PARAM!$C$59,PARAM!$B$48:$K$53,7,FALSE),0)),-2*IFERROR(VLOOKUP(PARAM!$C$59,PARAM!$B$48:$K$53,7,FALSE),0)),IFERROR(VLOOKUP(PARAM!$C$59,PARAM!$B$48:$K$53,8,FALSE),0)-IFERROR(VLOOKUP(PARAM!$C$59,PARAM!$B$48:$K$53,4,FALSE),0))</f>
        <v>-35</v>
      </c>
      <c r="G147" s="22">
        <f>IF(IFERROR(VLOOKUP(PARAM!$C$59,PARAM!$B$48:$K$53,2,FALSE),"")="end plate",-IFERROR(VLOOKUP(PARAM!$C$59,PARAM!$B$48:$K$53,8,FALSE),0)/2,PARAM!$G$59/2+IFERROR(VLOOKUP(PARAM!$C$59,PARAM!$B$48:$K$53,7,FALSE),0))</f>
        <v>-70</v>
      </c>
      <c r="H147" s="22">
        <f>-IFERROR(VLOOKUP(PARAM!$C$59,PARAM!$B$48:$K$53,10,FALSE),0)*(IFERROR(VLOOKUP(PARAM!$C$59,PARAM!$B$48:$K$53,11,FALSE),0)-1)/2</f>
        <v>-70</v>
      </c>
      <c r="I147" s="22" t="str">
        <f>IF(IFERROR(VLOOKUP(PARAM!$C$59,PARAM!$B$48:$K$53,2,FALSE),"")="end plate","YZ","XZ")</f>
        <v>YZ</v>
      </c>
      <c r="J147" s="22">
        <v>0</v>
      </c>
      <c r="K147" s="22">
        <v>0</v>
      </c>
      <c r="L147" s="22">
        <v>0</v>
      </c>
      <c r="M147" s="22">
        <f>0</f>
        <v>0</v>
      </c>
      <c r="N147" s="22">
        <f>IF(IFERROR(VLOOKUP(PARAM!$C$59,PARAM!$B$48:$K$53,2,FALSE),"")="end plate",IFERROR(VLOOKUP(PARAM!$C$59,PARAM!$B$48:$K$53,8,FALSE),0),0)</f>
        <v>140</v>
      </c>
      <c r="O147" s="22">
        <v>0</v>
      </c>
      <c r="P147" s="22">
        <f>IF(IFERROR(VLOOKUP(PARAM!$C$59,PARAM!$B$48:$K$53,2,FALSE),"")="end plate",1,0)</f>
        <v>1</v>
      </c>
      <c r="Q147" s="22">
        <v>0</v>
      </c>
      <c r="R147" s="22">
        <v>0</v>
      </c>
      <c r="S147" s="22">
        <f>IFERROR(VLOOKUP(PARAM!$C$59,PARAM!$B$48:$K$53,10,FALSE),0)</f>
        <v>70</v>
      </c>
      <c r="T147" s="22">
        <f>IFERROR(VLOOKUP(PARAM!$C$59,PARAM!$B$48:$K$53,11,FALSE),0)-1</f>
        <v>2</v>
      </c>
    </row>
    <row r="148" spans="2:6" x14ac:dyDescent="0.25">
      <c r="B148" s="21" t="s">
        <v>182</v>
      </c>
      <c r="C148" s="22" t="s">
        <v>231</v>
      </c>
      <c r="D148" s="22" t="s">
        <v>185</v>
      </c>
      <c r="E148" s="22" t="s">
        <v>213</v>
      </c>
      <c r="F148" s="22" t="s">
        <v>143</v>
      </c>
    </row>
    <row r="150" spans="1:1" x14ac:dyDescent="0.25">
      <c r="A150" s="12" t="s">
        <v>236</v>
      </c>
    </row>
    <row r="151" spans="2:12" x14ac:dyDescent="0.25">
      <c r="B151" s="21" t="s">
        <v>182</v>
      </c>
      <c r="C151" s="22" t="s">
        <v>237</v>
      </c>
      <c r="D151" s="22" t="str">
        <f>IF(AND(PARAM!$J$60&gt;0,IFERROR(VLOOKUP(PARAM!$C$60,PARAM!$B$48:$K$53,2,FALSE),"")="end plate"),"pl.cnb","")</f>
        <v/>
      </c>
      <c r="E151" s="22" t="s">
        <v>143</v>
      </c>
      <c r="F151" s="22">
        <f>-(-IFERROR(VLOOKUP(PARAM!$C$60,PARAM!$B$48:$K$53,7,FALSE),0)/2)</f>
        <v>5</v>
      </c>
      <c r="G151" s="22">
        <f>0</f>
        <v>0</v>
      </c>
      <c r="H151" s="22">
        <v>0</v>
      </c>
      <c r="I151" s="22" t="s">
        <v>192</v>
      </c>
      <c r="J151" s="22">
        <v>0</v>
      </c>
      <c r="K151" s="22">
        <v>0</v>
      </c>
      <c r="L151" s="22">
        <v>180</v>
      </c>
    </row>
    <row r="152" spans="2:12" x14ac:dyDescent="0.25">
      <c r="B152" s="21" t="s">
        <v>182</v>
      </c>
      <c r="C152" s="22" t="s">
        <v>237</v>
      </c>
      <c r="D152" s="22" t="str">
        <f>IF(AND(PARAM!$J$60&gt;0,IFERROR(VLOOKUP(PARAM!$C$60,PARAM!$B$48:$K$53,2,FALSE),"")="end plate",NOT(PARAM!$C$6="H")),"pl.cnb","")</f>
        <v/>
      </c>
      <c r="E152" s="22" t="s">
        <v>143</v>
      </c>
      <c r="F152" s="22">
        <f>-(-1.5*IFERROR(VLOOKUP(PARAM!$C$60,PARAM!$B$48:$K$53,7,FALSE),0))</f>
        <v>15</v>
      </c>
      <c r="G152" s="22">
        <f>0</f>
        <v>0</v>
      </c>
      <c r="H152" s="22">
        <v>0</v>
      </c>
      <c r="I152" s="22" t="s">
        <v>192</v>
      </c>
      <c r="J152" s="22">
        <v>0</v>
      </c>
      <c r="K152" s="22">
        <v>0</v>
      </c>
      <c r="L152" s="22">
        <v>180</v>
      </c>
    </row>
    <row r="153" spans="2:12" x14ac:dyDescent="0.25">
      <c r="B153" s="21" t="s">
        <v>182</v>
      </c>
      <c r="C153" s="22" t="s">
        <v>237</v>
      </c>
      <c r="D153" s="22" t="str">
        <f>IF(AND(PARAM!$J$60&gt;0,IFERROR(VLOOKUP(PARAM!$C$60,PARAM!$B$48:$K$53,2,FALSE),"")="fin plate"),"pl.cnb","")</f>
        <v>pl.cnb</v>
      </c>
      <c r="E153" s="22" t="s">
        <v>143</v>
      </c>
      <c r="F153" s="22">
        <f>-(IFERROR(VLOOKUP(PARAM!$C$60,PARAM!$B$48:$K$53,5,FALSE),0)/2-IFERROR(VLOOKUP(PARAM!$C$60,PARAM!$B$48:$K$53,4,FALSE),0))</f>
        <v>-60</v>
      </c>
      <c r="G153" s="22">
        <f>-(PARAM!$G$60/2+IFERROR(VLOOKUP(PARAM!$C$60,PARAM!$B$48:$K$53,7,FALSE),0)/2)</f>
        <v>-8.25</v>
      </c>
      <c r="H153" s="22">
        <v>0</v>
      </c>
      <c r="I153" s="22" t="s">
        <v>194</v>
      </c>
      <c r="J153" s="22">
        <v>0</v>
      </c>
      <c r="K153" s="22">
        <v>0</v>
      </c>
      <c r="L153" s="22">
        <v>180</v>
      </c>
    </row>
    <row r="154" spans="2:12" x14ac:dyDescent="0.25">
      <c r="B154" s="21" t="s">
        <v>182</v>
      </c>
      <c r="C154" s="22" t="s">
        <v>237</v>
      </c>
      <c r="D154" s="22" t="str">
        <f>IF(PARAM!$J$60&gt;0,"sc.bmb","")</f>
        <v>sc.bmb</v>
      </c>
      <c r="E154" s="22"/>
      <c r="F154" s="22">
        <v>0</v>
      </c>
      <c r="G154" s="22">
        <v>0</v>
      </c>
      <c r="H154" s="22">
        <v>0</v>
      </c>
      <c r="I154" s="22" t="s">
        <v>192</v>
      </c>
      <c r="J154" s="22">
        <v>0</v>
      </c>
      <c r="K154" s="22">
        <v>0</v>
      </c>
      <c r="L154" s="22">
        <v>180</v>
      </c>
    </row>
    <row r="155" spans="2:20" x14ac:dyDescent="0.25">
      <c r="B155" s="21" t="s">
        <v>182</v>
      </c>
      <c r="C155" s="22" t="s">
        <v>237</v>
      </c>
      <c r="D155" s="22" t="str">
        <f>IF(OR(PARAM!$J$60&lt;=0,AND(NOT(IFERROR(VLOOKUP(PARAM!$C$60,PARAM!$B$48:$K$53,2,FALSE),"")="end plate"),NOT(IFERROR(VLOOKUP(PARAM!$C$60,PARAM!$B$48:$K$53,2,FALSE),"")="fin plate"))),"","bo.cnb")</f>
        <v>bo.cnb</v>
      </c>
      <c r="E155" s="22"/>
      <c r="F155" s="22">
        <f>-(IF(IFERROR(VLOOKUP(PARAM!$C$60,PARAM!$B$48:$K$53,2,FALSE),"")="end plate",IF(PARAM!$C$6="H",-((IF(MOD(PARAM!$J$6,180)=0,PARAM!$H$6,PARAM!$G$6))+IFERROR(VLOOKUP(PARAM!$C$60,PARAM!$B$48:$K$53,7,FALSE),0)),-2*IFERROR(VLOOKUP(PARAM!$C$60,PARAM!$B$48:$K$53,7,FALSE),0)),IFERROR(VLOOKUP(PARAM!$C$60,PARAM!$B$48:$K$53,8,FALSE),0)-IFERROR(VLOOKUP(PARAM!$C$60,PARAM!$B$48:$K$53,4,FALSE),0)))</f>
        <v>-50</v>
      </c>
      <c r="G155" s="22">
        <f>-(IF(IFERROR(VLOOKUP(PARAM!$C$60,PARAM!$B$48:$K$53,2,FALSE),"")="end plate",-IFERROR(VLOOKUP(PARAM!$C$60,PARAM!$B$48:$K$53,8,FALSE),0)/2,PARAM!$G$60/2+IFERROR(VLOOKUP(PARAM!$C$60,PARAM!$B$48:$K$53,7,FALSE),0)))</f>
        <v>-13.25</v>
      </c>
      <c r="H155" s="22">
        <f>-IFERROR(VLOOKUP(PARAM!$C$60,PARAM!$B$48:$K$53,10,FALSE),0)*(IFERROR(VLOOKUP(PARAM!$C$60,PARAM!$B$48:$K$53,11,FALSE),0)-1)/2</f>
        <v>-70</v>
      </c>
      <c r="I155" s="22" t="str">
        <f>IF(IFERROR(VLOOKUP(PARAM!$C$60,PARAM!$B$48:$K$53,2,FALSE),"")="end plate","YZ","XZ")</f>
        <v>XZ</v>
      </c>
      <c r="J155" s="22">
        <v>0</v>
      </c>
      <c r="K155" s="22">
        <v>0</v>
      </c>
      <c r="L155" s="22">
        <v>180</v>
      </c>
      <c r="M155" s="22">
        <f>0</f>
        <v>0</v>
      </c>
      <c r="N155" s="22">
        <f>-(IF(IFERROR(VLOOKUP(PARAM!$C$60,PARAM!$B$48:$K$53,2,FALSE),"")="end plate",IFERROR(VLOOKUP(PARAM!$C$60,PARAM!$B$48:$K$53,8,FALSE),0),0))</f>
        <v>0</v>
      </c>
      <c r="O155" s="22">
        <v>0</v>
      </c>
      <c r="P155" s="22">
        <f>IF(IFERROR(VLOOKUP(PARAM!$C$60,PARAM!$B$48:$K$53,2,FALSE),"")="end plate",1,0)</f>
        <v>0</v>
      </c>
      <c r="Q155" s="22">
        <v>0</v>
      </c>
      <c r="R155" s="22">
        <v>0</v>
      </c>
      <c r="S155" s="22">
        <f>IFERROR(VLOOKUP(PARAM!$C$60,PARAM!$B$48:$K$53,10,FALSE),0)</f>
        <v>70</v>
      </c>
      <c r="T155" s="22">
        <f>IFERROR(VLOOKUP(PARAM!$C$60,PARAM!$B$48:$K$53,11,FALSE),0)-1</f>
        <v>2</v>
      </c>
    </row>
    <row r="156" spans="2:6" x14ac:dyDescent="0.25">
      <c r="B156" s="21" t="s">
        <v>182</v>
      </c>
      <c r="C156" s="22" t="s">
        <v>237</v>
      </c>
      <c r="D156" s="22" t="s">
        <v>185</v>
      </c>
      <c r="E156" s="22" t="s">
        <v>214</v>
      </c>
      <c r="F156" s="22" t="s">
        <v>143</v>
      </c>
    </row>
    <row r="158" spans="1:1" x14ac:dyDescent="0.25">
      <c r="A158" s="12" t="s">
        <v>238</v>
      </c>
    </row>
    <row r="159" spans="2:12" x14ac:dyDescent="0.25">
      <c r="B159" s="21" t="s">
        <v>182</v>
      </c>
      <c r="C159" s="22" t="s">
        <v>239</v>
      </c>
      <c r="D159" s="22" t="str">
        <f>IF(AND(PARAM!$J$61&gt;0,IFERROR(VLOOKUP(PARAM!$C$61,PARAM!$B$48:$K$53,2,FALSE),"")="end plate"),"pl.cnc","")</f>
        <v/>
      </c>
      <c r="E159" s="22" t="s">
        <v>143</v>
      </c>
      <c r="F159" s="22">
        <f>0</f>
        <v>0</v>
      </c>
      <c r="G159" s="22">
        <f>-IFERROR(VLOOKUP(PARAM!$C$61,PARAM!$B$48:$K$53,7,FALSE),0)/2</f>
        <v>-5</v>
      </c>
      <c r="H159" s="22">
        <v>0</v>
      </c>
      <c r="I159" s="22" t="s">
        <v>194</v>
      </c>
      <c r="J159" s="22">
        <v>0</v>
      </c>
      <c r="K159" s="22">
        <v>0</v>
      </c>
      <c r="L159" s="22">
        <v>180</v>
      </c>
    </row>
    <row r="160" spans="2:12" x14ac:dyDescent="0.25">
      <c r="B160" s="21" t="s">
        <v>182</v>
      </c>
      <c r="C160" s="22" t="s">
        <v>239</v>
      </c>
      <c r="D160" s="22" t="str">
        <f>IF(AND(PARAM!$J$61&gt;0,IFERROR(VLOOKUP(PARAM!$C$61,PARAM!$B$48:$K$53,2,FALSE),"")="end plate",NOT(PARAM!$C$6="H")),"pl.cnc","")</f>
        <v/>
      </c>
      <c r="E160" s="22" t="s">
        <v>143</v>
      </c>
      <c r="F160" s="22">
        <f>0</f>
        <v>0</v>
      </c>
      <c r="G160" s="22">
        <f>-1.5*IFERROR(VLOOKUP(PARAM!$C$61,PARAM!$B$48:$K$53,7,FALSE),0)</f>
        <v>-15</v>
      </c>
      <c r="H160" s="22">
        <v>0</v>
      </c>
      <c r="I160" s="22" t="s">
        <v>194</v>
      </c>
      <c r="J160" s="22">
        <v>0</v>
      </c>
      <c r="K160" s="22">
        <v>0</v>
      </c>
      <c r="L160" s="22">
        <v>180</v>
      </c>
    </row>
    <row r="161" spans="2:12" x14ac:dyDescent="0.25">
      <c r="B161" s="21" t="s">
        <v>182</v>
      </c>
      <c r="C161" s="22" t="s">
        <v>239</v>
      </c>
      <c r="D161" s="22" t="str">
        <f>IF(AND(PARAM!$J$61&gt;0,IFERROR(VLOOKUP(PARAM!$C$61,PARAM!$B$48:$K$53,2,FALSE),"")="fin plate"),"pl.cnc","")</f>
        <v>pl.cnc</v>
      </c>
      <c r="E161" s="22" t="s">
        <v>143</v>
      </c>
      <c r="F161" s="22">
        <f>PARAM!$G$61/2+IFERROR(VLOOKUP(PARAM!$C$61,PARAM!$B$48:$K$53,7,FALSE),0)/2</f>
        <v>8.25</v>
      </c>
      <c r="G161" s="22">
        <f>IFERROR(VLOOKUP(PARAM!$C$61,PARAM!$B$48:$K$53,5,FALSE),0)/2-IFERROR(VLOOKUP(PARAM!$C$61,PARAM!$B$48:$K$53,4,FALSE),0)</f>
        <v>60</v>
      </c>
      <c r="H161" s="22">
        <v>0</v>
      </c>
      <c r="I161" s="22" t="s">
        <v>192</v>
      </c>
      <c r="J161" s="22">
        <v>0</v>
      </c>
      <c r="K161" s="22">
        <v>0</v>
      </c>
      <c r="L161" s="22">
        <v>180</v>
      </c>
    </row>
    <row r="162" spans="2:12" x14ac:dyDescent="0.25">
      <c r="B162" s="21" t="s">
        <v>182</v>
      </c>
      <c r="C162" s="22" t="s">
        <v>239</v>
      </c>
      <c r="D162" s="22" t="str">
        <f>IF(PARAM!$J$61&gt;0,"sc.bmc","")</f>
        <v>sc.bmc</v>
      </c>
      <c r="E162" s="22"/>
      <c r="F162" s="22">
        <v>0</v>
      </c>
      <c r="G162" s="22">
        <v>0</v>
      </c>
      <c r="H162" s="22">
        <v>0</v>
      </c>
      <c r="I162" s="22" t="s">
        <v>194</v>
      </c>
      <c r="J162" s="22">
        <v>0</v>
      </c>
      <c r="K162" s="22">
        <v>0</v>
      </c>
      <c r="L162" s="22">
        <v>180</v>
      </c>
    </row>
    <row r="163" spans="2:20" x14ac:dyDescent="0.25">
      <c r="B163" s="21" t="s">
        <v>182</v>
      </c>
      <c r="C163" s="22" t="s">
        <v>239</v>
      </c>
      <c r="D163" s="22" t="str">
        <f>IF(OR(PARAM!$J$61&lt;=0,AND(NOT(IFERROR(VLOOKUP(PARAM!$C$61,PARAM!$B$48:$K$53,2,FALSE),"")="end plate"),NOT(IFERROR(VLOOKUP(PARAM!$C$61,PARAM!$B$48:$K$53,2,FALSE),"")="fin plate"))),"","bo.cnc")</f>
        <v>bo.cnc</v>
      </c>
      <c r="E163" s="22"/>
      <c r="F163" s="22">
        <f>IF(IFERROR(VLOOKUP(PARAM!$C$61,PARAM!$B$48:$K$53,2,FALSE),"")="end plate",-IFERROR(VLOOKUP(PARAM!$C$61,PARAM!$B$48:$K$53,8,FALSE),0)/2,PARAM!$G$61/2+IFERROR(VLOOKUP(PARAM!$C$61,PARAM!$B$48:$K$53,7,FALSE),0))</f>
        <v>13.25</v>
      </c>
      <c r="G163" s="22">
        <f>IF(IFERROR(VLOOKUP(PARAM!$C$61,PARAM!$B$48:$K$53,2,FALSE),"")="end plate",IF(PARAM!$C$6="H",-((IF(MOD(PARAM!$J$6,180)=0,PARAM!$G$6,PARAM!$H$6))+IFERROR(VLOOKUP(PARAM!$C$61,PARAM!$B$48:$K$53,7,FALSE),0)),-2*IFERROR(VLOOKUP(PARAM!$C$61,PARAM!$B$48:$K$53,7,FALSE),0)),IFERROR(VLOOKUP(PARAM!$C$61,PARAM!$B$48:$K$53,8,FALSE),0)-IFERROR(VLOOKUP(PARAM!$C$61,PARAM!$B$48:$K$53,4,FALSE),0))</f>
        <v>50</v>
      </c>
      <c r="H163" s="22">
        <f>-IFERROR(VLOOKUP(PARAM!$C$61,PARAM!$B$48:$K$53,10,FALSE),0)*(IFERROR(VLOOKUP(PARAM!$C$61,PARAM!$B$48:$K$53,11,FALSE),0)-1)/2</f>
        <v>-70</v>
      </c>
      <c r="I163" s="22" t="str">
        <f>IF(IFERROR(VLOOKUP(PARAM!$C$61,PARAM!$B$48:$K$53,2,FALSE),"")="end plate","XZ","YZ")</f>
        <v>YZ</v>
      </c>
      <c r="J163" s="22">
        <v>0</v>
      </c>
      <c r="K163" s="22">
        <v>0</v>
      </c>
      <c r="L163" s="22">
        <v>180</v>
      </c>
      <c r="M163" s="22">
        <f>IF(IFERROR(VLOOKUP(PARAM!$C$61,PARAM!$B$48:$K$53,2,FALSE),"")="end plate",IFERROR(VLOOKUP(PARAM!$C$61,PARAM!$B$48:$K$53,8,FALSE),0),0)</f>
        <v>0</v>
      </c>
      <c r="N163" s="22">
        <f>0</f>
        <v>0</v>
      </c>
      <c r="O163" s="22">
        <v>0</v>
      </c>
      <c r="P163" s="22">
        <f>IF(IFERROR(VLOOKUP(PARAM!$C$61,PARAM!$B$48:$K$53,2,FALSE),"")="end plate",1,0)</f>
        <v>0</v>
      </c>
      <c r="Q163" s="22">
        <v>0</v>
      </c>
      <c r="R163" s="22">
        <v>0</v>
      </c>
      <c r="S163" s="22">
        <f>IFERROR(VLOOKUP(PARAM!$C$61,PARAM!$B$48:$K$53,10,FALSE),0)</f>
        <v>70</v>
      </c>
      <c r="T163" s="22">
        <f>IFERROR(VLOOKUP(PARAM!$C$61,PARAM!$B$48:$K$53,11,FALSE),0)-1</f>
        <v>2</v>
      </c>
    </row>
    <row r="164" spans="2:6" x14ac:dyDescent="0.25">
      <c r="B164" s="21" t="s">
        <v>182</v>
      </c>
      <c r="C164" s="22" t="s">
        <v>239</v>
      </c>
      <c r="D164" s="22" t="s">
        <v>185</v>
      </c>
      <c r="E164" s="22" t="s">
        <v>215</v>
      </c>
      <c r="F164" s="22" t="s">
        <v>143</v>
      </c>
    </row>
    <row r="166" spans="1:1" x14ac:dyDescent="0.25">
      <c r="A166" s="12" t="s">
        <v>240</v>
      </c>
    </row>
    <row r="167" spans="2:12" x14ac:dyDescent="0.25">
      <c r="B167" s="21" t="s">
        <v>182</v>
      </c>
      <c r="C167" s="22" t="s">
        <v>241</v>
      </c>
      <c r="D167" s="22" t="str">
        <f>IF(AND(PARAM!$J$62&gt;0,IFERROR(VLOOKUP(PARAM!$C$62,PARAM!$B$48:$K$53,2,FALSE),"")="end plate"),"pl.cnd","")</f>
        <v/>
      </c>
      <c r="E167" s="22" t="s">
        <v>143</v>
      </c>
      <c r="F167" s="22">
        <f>0</f>
        <v>0</v>
      </c>
      <c r="G167" s="22">
        <f>-(-IFERROR(VLOOKUP(PARAM!$C$62,PARAM!$B$48:$K$53,7,FALSE),0)/2)</f>
        <v>5</v>
      </c>
      <c r="H167" s="22">
        <v>0</v>
      </c>
      <c r="I167" s="22" t="s">
        <v>194</v>
      </c>
      <c r="J167" s="22">
        <v>0</v>
      </c>
      <c r="K167" s="22">
        <v>0</v>
      </c>
      <c r="L167" s="22">
        <v>0</v>
      </c>
    </row>
    <row r="168" spans="2:12" x14ac:dyDescent="0.25">
      <c r="B168" s="21" t="s">
        <v>182</v>
      </c>
      <c r="C168" s="22" t="s">
        <v>241</v>
      </c>
      <c r="D168" s="22" t="str">
        <f>IF(AND(PARAM!$J$62&gt;0,IFERROR(VLOOKUP(PARAM!$C$62,PARAM!$B$48:$K$53,2,FALSE),"")="end plate",NOT(PARAM!$C$6="H")),"pl.cnd","")</f>
        <v/>
      </c>
      <c r="E168" s="22" t="s">
        <v>143</v>
      </c>
      <c r="F168" s="22">
        <f>0</f>
        <v>0</v>
      </c>
      <c r="G168" s="22">
        <f>-(-1.5*IFERROR(VLOOKUP(PARAM!$C$62,PARAM!$B$48:$K$53,7,FALSE),0))</f>
        <v>15</v>
      </c>
      <c r="H168" s="22">
        <v>0</v>
      </c>
      <c r="I168" s="22" t="s">
        <v>194</v>
      </c>
      <c r="J168" s="22">
        <v>0</v>
      </c>
      <c r="K168" s="22">
        <v>0</v>
      </c>
      <c r="L168" s="22">
        <v>0</v>
      </c>
    </row>
    <row r="169" spans="2:12" x14ac:dyDescent="0.25">
      <c r="B169" s="21" t="s">
        <v>182</v>
      </c>
      <c r="C169" s="22" t="s">
        <v>241</v>
      </c>
      <c r="D169" s="22" t="str">
        <f>IF(AND(PARAM!$J$62&gt;0,IFERROR(VLOOKUP(PARAM!$C$62,PARAM!$B$48:$K$53,2,FALSE),"")="fin plate"),"pl.cnd","")</f>
        <v/>
      </c>
      <c r="E169" s="22" t="s">
        <v>143</v>
      </c>
      <c r="F169" s="22">
        <f>-(PARAM!$G$62/2+IFERROR(VLOOKUP(PARAM!$C$62,PARAM!$B$48:$K$53,7,FALSE),0)/2)</f>
        <v>-8.25</v>
      </c>
      <c r="G169" s="22">
        <f>-(IFERROR(VLOOKUP(PARAM!$C$62,PARAM!$B$48:$K$53,5,FALSE),0)/2-IFERROR(VLOOKUP(PARAM!$C$62,PARAM!$B$48:$K$53,4,FALSE),0))</f>
        <v>-60</v>
      </c>
      <c r="H169" s="22">
        <v>0</v>
      </c>
      <c r="I169" s="22" t="s">
        <v>192</v>
      </c>
      <c r="J169" s="22">
        <v>0</v>
      </c>
      <c r="K169" s="22">
        <v>0</v>
      </c>
      <c r="L169" s="22">
        <v>0</v>
      </c>
    </row>
    <row r="170" spans="2:12" x14ac:dyDescent="0.25">
      <c r="B170" s="21" t="s">
        <v>182</v>
      </c>
      <c r="C170" s="22" t="s">
        <v>241</v>
      </c>
      <c r="D170" s="22" t="str">
        <f>IF(PARAM!$J$62&gt;0,"sc.bmd","")</f>
        <v/>
      </c>
      <c r="E170" s="22"/>
      <c r="F170" s="22">
        <v>0</v>
      </c>
      <c r="G170" s="22">
        <v>0</v>
      </c>
      <c r="H170" s="22">
        <v>0</v>
      </c>
      <c r="I170" s="22" t="s">
        <v>194</v>
      </c>
      <c r="J170" s="22">
        <v>0</v>
      </c>
      <c r="K170" s="22">
        <v>0</v>
      </c>
      <c r="L170" s="22">
        <v>0</v>
      </c>
    </row>
    <row r="171" spans="2:20" x14ac:dyDescent="0.25">
      <c r="B171" s="21" t="s">
        <v>182</v>
      </c>
      <c r="C171" s="22" t="s">
        <v>241</v>
      </c>
      <c r="D171" s="22" t="str">
        <f>IF(OR(PARAM!$J$62&lt;=0,AND(NOT(IFERROR(VLOOKUP(PARAM!$C$62,PARAM!$B$48:$K$53,2,FALSE),"")="end plate"),NOT(IFERROR(VLOOKUP(PARAM!$C$62,PARAM!$B$48:$K$53,2,FALSE),"")="fin plate"))),"","bo.cnd")</f>
        <v/>
      </c>
      <c r="E171" s="22"/>
      <c r="F171" s="22">
        <f>-(IF(IFERROR(VLOOKUP(PARAM!$C$62,PARAM!$B$48:$K$53,2,FALSE),"")="end plate",-IFERROR(VLOOKUP(PARAM!$C$62,PARAM!$B$48:$K$53,8,FALSE),0)/2,PARAM!$G$62/2+IFERROR(VLOOKUP(PARAM!$C$62,PARAM!$B$48:$K$53,7,FALSE),0)))</f>
        <v>-13.25</v>
      </c>
      <c r="G171" s="22">
        <f>-(IF(IFERROR(VLOOKUP(PARAM!$C$62,PARAM!$B$48:$K$53,2,FALSE),"")="end plate",IF(PARAM!$C$6="H",-((IF(MOD(PARAM!$J$6,180)=0,PARAM!$G$6,PARAM!$H$6))+IFERROR(VLOOKUP(PARAM!$C$62,PARAM!$B$48:$K$53,7,FALSE),0)),-2*IFERROR(VLOOKUP(PARAM!$C$62,PARAM!$B$48:$K$53,7,FALSE),0)),IFERROR(VLOOKUP(PARAM!$C$62,PARAM!$B$48:$K$53,8,FALSE),0)-IFERROR(VLOOKUP(PARAM!$C$62,PARAM!$B$48:$K$53,4,FALSE),0)))</f>
        <v>-50</v>
      </c>
      <c r="H171" s="22">
        <f>-IFERROR(VLOOKUP(PARAM!$C$62,PARAM!$B$48:$K$53,10,FALSE),0)*(IFERROR(VLOOKUP(PARAM!$C$62,PARAM!$B$48:$K$53,11,FALSE),0)-1)/2</f>
        <v>-70</v>
      </c>
      <c r="I171" s="22" t="str">
        <f>IF(IFERROR(VLOOKUP(PARAM!$C$62,PARAM!$B$48:$K$53,2,FALSE),"")="end plate","XZ","YZ")</f>
        <v>YZ</v>
      </c>
      <c r="J171" s="22">
        <v>0</v>
      </c>
      <c r="K171" s="22">
        <v>0</v>
      </c>
      <c r="L171" s="22">
        <v>0</v>
      </c>
      <c r="M171" s="22">
        <f>-(IF(IFERROR(VLOOKUP(PARAM!$C$62,PARAM!$B$48:$K$53,2,FALSE),"")="end plate",IFERROR(VLOOKUP(PARAM!$C$62,PARAM!$B$48:$K$53,8,FALSE),0),0))</f>
        <v>0</v>
      </c>
      <c r="N171" s="22">
        <f>0</f>
        <v>0</v>
      </c>
      <c r="O171" s="22">
        <v>0</v>
      </c>
      <c r="P171" s="22">
        <f>IF(IFERROR(VLOOKUP(PARAM!$C$62,PARAM!$B$48:$K$53,2,FALSE),"")="end plate",1,0)</f>
        <v>0</v>
      </c>
      <c r="Q171" s="22">
        <v>0</v>
      </c>
      <c r="R171" s="22">
        <v>0</v>
      </c>
      <c r="S171" s="22">
        <f>IFERROR(VLOOKUP(PARAM!$C$62,PARAM!$B$48:$K$53,10,FALSE),0)</f>
        <v>70</v>
      </c>
      <c r="T171" s="22">
        <f>IFERROR(VLOOKUP(PARAM!$C$62,PARAM!$B$48:$K$53,11,FALSE),0)-1</f>
        <v>2</v>
      </c>
    </row>
    <row r="172" spans="2:6" x14ac:dyDescent="0.25">
      <c r="B172" s="21" t="s">
        <v>182</v>
      </c>
      <c r="C172" s="22" t="s">
        <v>241</v>
      </c>
      <c r="D172" s="22" t="s">
        <v>185</v>
      </c>
      <c r="E172" s="22" t="s">
        <v>216</v>
      </c>
      <c r="F172" s="22" t="s">
        <v>143</v>
      </c>
    </row>
    <row r="174" spans="1:1" x14ac:dyDescent="0.25">
      <c r="A174" s="12" t="s">
        <v>242</v>
      </c>
    </row>
    <row r="175" spans="1:8" x14ac:dyDescent="0.25">
      <c r="A175" s="12" t="s">
        <v>243</v>
      </c>
      <c r="B175" s="21" t="s">
        <v>206</v>
      </c>
      <c r="C175" s="22" t="s">
        <v>207</v>
      </c>
      <c r="D175" s="22" t="s">
        <v>231</v>
      </c>
      <c r="E175" s="22" t="s">
        <v>208</v>
      </c>
      <c r="F175" s="22">
        <f>(IF(MOD(PARAM!$J$6,180)=0,PARAM!$E$6/2,IF(PARAM!$C$6="H",PARAM!$G$6/2,PARAM!$F$6/2)))+IF(IFERROR(VLOOKUP(PARAM!$C$59,PARAM!$B$48:$K$53,2,FALSE),"")="end plate",IF(PARAM!$C$6="H",IFERROR(VLOOKUP(PARAM!$C$59,PARAM!$B$48:$K$53,7,FALSE),0),2*IFERROR(VLOOKUP(PARAM!$C$59,PARAM!$B$48:$K$53,7,FALSE),0)),IFERROR(VLOOKUP(PARAM!$C$59,PARAM!$B$48:$K$53,4,FALSE),0))</f>
        <v>170</v>
      </c>
      <c r="G175" s="22">
        <v>0</v>
      </c>
      <c r="H175" s="22">
        <v>0</v>
      </c>
    </row>
    <row r="176" spans="2:8" x14ac:dyDescent="0.25">
      <c r="B176" s="21" t="s">
        <v>206</v>
      </c>
      <c r="C176" s="22" t="s">
        <v>207</v>
      </c>
      <c r="D176" s="22" t="s">
        <v>237</v>
      </c>
      <c r="E176" s="22" t="s">
        <v>208</v>
      </c>
      <c r="F176" s="22">
        <f>-((IF(MOD(PARAM!$J$6,180)=0,PARAM!$E$6/2,IF(PARAM!$C$6="H",PARAM!$G$6/2,PARAM!$F$6/2)))+IF(IFERROR(VLOOKUP(PARAM!$C$60,PARAM!$B$48:$K$53,2,FALSE),"")="end plate",IF(PARAM!$C$6="H",IFERROR(VLOOKUP(PARAM!$C$60,PARAM!$B$48:$K$53,7,FALSE),0),2*IFERROR(VLOOKUP(PARAM!$C$60,PARAM!$B$48:$K$53,7,FALSE),0)),IFERROR(VLOOKUP(PARAM!$C$60,PARAM!$B$48:$K$53,4,FALSE),0)))</f>
        <v>-160</v>
      </c>
      <c r="G176" s="22">
        <v>0</v>
      </c>
      <c r="H176" s="22">
        <v>0</v>
      </c>
    </row>
    <row r="177" spans="2:8" x14ac:dyDescent="0.25">
      <c r="B177" s="21" t="s">
        <v>206</v>
      </c>
      <c r="C177" s="22" t="s">
        <v>207</v>
      </c>
      <c r="D177" s="22" t="s">
        <v>239</v>
      </c>
      <c r="E177" s="22" t="s">
        <v>208</v>
      </c>
      <c r="F177" s="22">
        <v>0</v>
      </c>
      <c r="G177" s="22">
        <f>(IF(MOD(PARAM!$J$6,180)=0,IF(PARAM!$C$6="H",PARAM!$G$6/2,PARAM!$F$6/2),PARAM!$E$6/2))+IF(IFERROR(VLOOKUP(PARAM!$C$61,PARAM!$B$48:$K$53,2,FALSE),"")="end plate",IF(PARAM!$C$6="H",IFERROR(VLOOKUP(PARAM!$C$61,PARAM!$B$48:$K$53,7,FALSE),0),2*IFERROR(VLOOKUP(PARAM!$C$61,PARAM!$B$48:$K$53,7,FALSE),0)),IFERROR(VLOOKUP(PARAM!$C$61,PARAM!$B$48:$K$53,4,FALSE),0))</f>
        <v>15</v>
      </c>
      <c r="H177" s="22">
        <v>0</v>
      </c>
    </row>
    <row r="178" spans="2:8" x14ac:dyDescent="0.25">
      <c r="B178" s="21" t="s">
        <v>206</v>
      </c>
      <c r="C178" s="22" t="s">
        <v>207</v>
      </c>
      <c r="D178" s="22" t="s">
        <v>241</v>
      </c>
      <c r="E178" s="22" t="s">
        <v>208</v>
      </c>
      <c r="F178" s="22">
        <v>0</v>
      </c>
      <c r="G178" s="22">
        <f>-((IF(MOD(PARAM!$J$6,180)=0,IF(PARAM!$C$6="H",PARAM!$G$6/2,PARAM!$F$6/2),PARAM!$E$6/2))+IF(IFERROR(VLOOKUP(PARAM!$C$62,PARAM!$B$48:$K$53,2,FALSE),"")="end plate",IF(PARAM!$C$6="H",IFERROR(VLOOKUP(PARAM!$C$62,PARAM!$B$48:$K$53,7,FALSE),0),2*IFERROR(VLOOKUP(PARAM!$C$62,PARAM!$B$48:$K$53,7,FALSE),0)),IFERROR(VLOOKUP(PARAM!$C$62,PARAM!$B$48:$K$53,4,FALSE),0)))</f>
        <v>-15</v>
      </c>
      <c r="H178" s="22">
        <v>0</v>
      </c>
    </row>
    <row r="180" spans="1:1" x14ac:dyDescent="0.25">
      <c r="A180" s="12" t="s">
        <v>244</v>
      </c>
    </row>
    <row r="181" spans="1:1" x14ac:dyDescent="0.25">
      <c r="A181" s="12" t="s">
        <v>245</v>
      </c>
    </row>
    <row r="182" spans="1:6" x14ac:dyDescent="0.25">
      <c r="A182" s="12" t="s">
        <v>246</v>
      </c>
      <c r="B182" s="21" t="s">
        <v>247</v>
      </c>
      <c r="C182" s="22" t="s">
        <v>215</v>
      </c>
      <c r="D182" s="22" t="s">
        <v>248</v>
      </c>
      <c r="E182" s="22" t="s">
        <v>163</v>
      </c>
      <c r="F182" s="22">
        <f>PARAM!$K$15</f>
        <v>20</v>
      </c>
    </row>
    <row r="183" spans="2:6" x14ac:dyDescent="0.25">
      <c r="B183" s="21" t="s">
        <v>247</v>
      </c>
      <c r="C183" s="22" t="s">
        <v>215</v>
      </c>
      <c r="D183" s="22" t="s">
        <v>248</v>
      </c>
      <c r="E183" s="22" t="s">
        <v>164</v>
      </c>
      <c r="F183" s="22">
        <f>PARAM!$K$15</f>
        <v>20</v>
      </c>
    </row>
    <row r="184" spans="2:6" x14ac:dyDescent="0.25">
      <c r="B184" s="21" t="s">
        <v>247</v>
      </c>
      <c r="C184" s="22" t="s">
        <v>216</v>
      </c>
      <c r="D184" s="22" t="s">
        <v>248</v>
      </c>
      <c r="E184" s="22" t="s">
        <v>163</v>
      </c>
      <c r="F184" s="22">
        <f>PARAM!$K$15</f>
        <v>20</v>
      </c>
    </row>
    <row r="185" spans="2:6" x14ac:dyDescent="0.25">
      <c r="B185" s="21" t="s">
        <v>247</v>
      </c>
      <c r="C185" s="22" t="s">
        <v>216</v>
      </c>
      <c r="D185" s="22" t="s">
        <v>248</v>
      </c>
      <c r="E185" s="22" t="s">
        <v>164</v>
      </c>
      <c r="F185" s="22">
        <f>PARAM!$K$15</f>
        <v>20</v>
      </c>
    </row>
    <row r="187" spans="1:1" x14ac:dyDescent="0.25">
      <c r="A187" s="12" t="s">
        <v>249</v>
      </c>
    </row>
    <row r="188" spans="2:8" x14ac:dyDescent="0.25">
      <c r="B188" s="21" t="s">
        <v>250</v>
      </c>
      <c r="C188" s="22" t="s">
        <v>207</v>
      </c>
      <c r="D188" s="22" t="s">
        <v>251</v>
      </c>
      <c r="E188" s="22"/>
      <c r="F188" s="22"/>
      <c r="G188" s="22">
        <v>50</v>
      </c>
      <c r="H188" s="22" t="s">
        <v>252</v>
      </c>
    </row>
    <row r="189" spans="2:6" x14ac:dyDescent="0.25">
      <c r="B189" s="21" t="s">
        <v>253</v>
      </c>
      <c r="C189" s="22" t="s">
        <v>254</v>
      </c>
      <c r="D189" s="22" t="s">
        <v>255</v>
      </c>
      <c r="E189" s="22">
        <v>10</v>
      </c>
      <c r="F189" s="22" t="s">
        <v>256</v>
      </c>
    </row>
    <row r="190" spans="2:6" x14ac:dyDescent="0.25">
      <c r="B190" s="21" t="s">
        <v>253</v>
      </c>
      <c r="C190" s="22" t="s">
        <v>141</v>
      </c>
      <c r="D190" s="22" t="s">
        <v>255</v>
      </c>
      <c r="E190" s="22">
        <v>20</v>
      </c>
      <c r="F190" s="22" t="s">
        <v>257</v>
      </c>
    </row>
    <row r="192" spans="2:2" x14ac:dyDescent="0.25">
      <c r="B192" s="21" t="s">
        <v>258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126</v>
      </c>
      <c r="E1" s="24" t="s">
        <v>9</v>
      </c>
      <c r="F1" s="24" t="s">
        <v>10</v>
      </c>
      <c r="G1" s="24" t="s">
        <v>12</v>
      </c>
    </row>
    <row r="2" spans="1:7" x14ac:dyDescent="0.25">
      <c r="A2" s="25" t="s">
        <v>259</v>
      </c>
      <c r="B2" s="26"/>
      <c r="C2" s="26"/>
      <c r="D2" s="26"/>
      <c r="E2" s="26"/>
      <c r="F2" s="26"/>
      <c r="G2" s="26"/>
    </row>
    <row r="3" spans="1:7" x14ac:dyDescent="0.25">
      <c r="A3" s="27" t="s">
        <v>260</v>
      </c>
      <c r="B3" s="28">
        <v>100</v>
      </c>
      <c r="C3" s="28">
        <v>100</v>
      </c>
      <c r="D3" s="28">
        <v>6</v>
      </c>
      <c r="E3" s="28">
        <v>8</v>
      </c>
      <c r="F3" s="28">
        <v>10</v>
      </c>
      <c r="G3" s="28">
        <v>17.2</v>
      </c>
    </row>
    <row r="4" spans="1:7" x14ac:dyDescent="0.25">
      <c r="A4" s="29" t="s">
        <v>261</v>
      </c>
      <c r="B4" s="30">
        <v>125</v>
      </c>
      <c r="C4" s="30">
        <v>125</v>
      </c>
      <c r="D4" s="30">
        <v>6.5</v>
      </c>
      <c r="E4" s="30">
        <v>9</v>
      </c>
      <c r="F4" s="30">
        <v>10</v>
      </c>
      <c r="G4" s="30">
        <v>23.8</v>
      </c>
    </row>
    <row r="5" spans="1:7" x14ac:dyDescent="0.25">
      <c r="A5" s="27" t="s">
        <v>262</v>
      </c>
      <c r="B5" s="28">
        <v>150</v>
      </c>
      <c r="C5" s="28">
        <v>75</v>
      </c>
      <c r="D5" s="28">
        <v>5</v>
      </c>
      <c r="E5" s="28">
        <v>7</v>
      </c>
      <c r="F5" s="28">
        <v>8</v>
      </c>
      <c r="G5" s="28">
        <v>14</v>
      </c>
    </row>
    <row r="6" spans="1:7" x14ac:dyDescent="0.25">
      <c r="A6" s="29" t="s">
        <v>263</v>
      </c>
      <c r="B6" s="30">
        <v>148</v>
      </c>
      <c r="C6" s="30">
        <v>100</v>
      </c>
      <c r="D6" s="30">
        <v>6</v>
      </c>
      <c r="E6" s="30">
        <v>9</v>
      </c>
      <c r="F6" s="30">
        <v>11</v>
      </c>
      <c r="G6" s="30">
        <v>21.1</v>
      </c>
    </row>
    <row r="7" spans="1:7" x14ac:dyDescent="0.25">
      <c r="A7" s="27" t="s">
        <v>264</v>
      </c>
      <c r="B7" s="28">
        <v>150</v>
      </c>
      <c r="C7" s="28">
        <v>150</v>
      </c>
      <c r="D7" s="28">
        <v>7</v>
      </c>
      <c r="E7" s="28">
        <v>10</v>
      </c>
      <c r="F7" s="28">
        <v>11</v>
      </c>
      <c r="G7" s="28">
        <v>31.5</v>
      </c>
    </row>
    <row r="8" spans="1:7" x14ac:dyDescent="0.25">
      <c r="A8" s="29" t="s">
        <v>265</v>
      </c>
      <c r="B8" s="30">
        <v>198</v>
      </c>
      <c r="C8" s="30">
        <v>99</v>
      </c>
      <c r="D8" s="30">
        <v>4.5</v>
      </c>
      <c r="E8" s="30">
        <v>7</v>
      </c>
      <c r="F8" s="30">
        <v>11</v>
      </c>
      <c r="G8" s="30">
        <v>18.2</v>
      </c>
    </row>
    <row r="9" spans="1:7" x14ac:dyDescent="0.25">
      <c r="A9" s="27" t="s">
        <v>266</v>
      </c>
      <c r="B9" s="28">
        <v>200</v>
      </c>
      <c r="C9" s="28">
        <v>100</v>
      </c>
      <c r="D9" s="28">
        <v>5.5</v>
      </c>
      <c r="E9" s="28">
        <v>8</v>
      </c>
      <c r="F9" s="28">
        <v>11</v>
      </c>
      <c r="G9" s="28">
        <v>21.3</v>
      </c>
    </row>
    <row r="10" spans="1:7" x14ac:dyDescent="0.25">
      <c r="A10" s="29" t="s">
        <v>267</v>
      </c>
      <c r="B10" s="30">
        <v>194</v>
      </c>
      <c r="C10" s="30">
        <v>150</v>
      </c>
      <c r="D10" s="30">
        <v>6</v>
      </c>
      <c r="E10" s="30">
        <v>9</v>
      </c>
      <c r="F10" s="30">
        <v>13</v>
      </c>
      <c r="G10" s="30">
        <v>30.6</v>
      </c>
    </row>
    <row r="11" spans="1:7" x14ac:dyDescent="0.25">
      <c r="A11" s="27" t="s">
        <v>268</v>
      </c>
      <c r="B11" s="28">
        <v>200</v>
      </c>
      <c r="C11" s="28">
        <v>200</v>
      </c>
      <c r="D11" s="28">
        <v>8</v>
      </c>
      <c r="E11" s="28">
        <v>12</v>
      </c>
      <c r="F11" s="28">
        <v>13</v>
      </c>
      <c r="G11" s="28">
        <v>49.9</v>
      </c>
    </row>
    <row r="12" spans="1:7" x14ac:dyDescent="0.25">
      <c r="A12" s="29" t="s">
        <v>269</v>
      </c>
      <c r="B12" s="30">
        <v>200</v>
      </c>
      <c r="C12" s="30">
        <v>204</v>
      </c>
      <c r="D12" s="30">
        <v>12</v>
      </c>
      <c r="E12" s="30">
        <v>12</v>
      </c>
      <c r="F12" s="30">
        <v>13</v>
      </c>
      <c r="G12" s="30">
        <v>56.2</v>
      </c>
    </row>
    <row r="13" spans="1:7" x14ac:dyDescent="0.25">
      <c r="A13" s="27" t="s">
        <v>270</v>
      </c>
      <c r="B13" s="28">
        <v>248</v>
      </c>
      <c r="C13" s="28">
        <v>124</v>
      </c>
      <c r="D13" s="28">
        <v>5</v>
      </c>
      <c r="E13" s="28">
        <v>8</v>
      </c>
      <c r="F13" s="28">
        <v>12</v>
      </c>
      <c r="G13" s="28">
        <v>25.7</v>
      </c>
    </row>
    <row r="14" spans="1:7" x14ac:dyDescent="0.25">
      <c r="A14" s="29" t="s">
        <v>271</v>
      </c>
      <c r="B14" s="30">
        <v>250</v>
      </c>
      <c r="C14" s="30">
        <v>125</v>
      </c>
      <c r="D14" s="30">
        <v>6</v>
      </c>
      <c r="E14" s="30">
        <v>9</v>
      </c>
      <c r="F14" s="30">
        <v>12</v>
      </c>
      <c r="G14" s="30">
        <v>29.6</v>
      </c>
    </row>
    <row r="15" spans="1:7" x14ac:dyDescent="0.25">
      <c r="A15" s="27" t="s">
        <v>272</v>
      </c>
      <c r="B15" s="28">
        <v>244</v>
      </c>
      <c r="C15" s="28">
        <v>175</v>
      </c>
      <c r="D15" s="28">
        <v>7</v>
      </c>
      <c r="E15" s="28">
        <v>11</v>
      </c>
      <c r="F15" s="28">
        <v>16</v>
      </c>
      <c r="G15" s="28">
        <v>44.1</v>
      </c>
    </row>
    <row r="16" spans="1:7" x14ac:dyDescent="0.25">
      <c r="A16" s="29" t="s">
        <v>273</v>
      </c>
      <c r="B16" s="30">
        <v>250</v>
      </c>
      <c r="C16" s="30">
        <v>250</v>
      </c>
      <c r="D16" s="30">
        <v>9</v>
      </c>
      <c r="E16" s="30">
        <v>14</v>
      </c>
      <c r="F16" s="30">
        <v>16</v>
      </c>
      <c r="G16" s="30">
        <v>72.4</v>
      </c>
    </row>
    <row r="17" spans="1:7" x14ac:dyDescent="0.25">
      <c r="A17" s="27" t="s">
        <v>274</v>
      </c>
      <c r="B17" s="28">
        <v>250</v>
      </c>
      <c r="C17" s="28">
        <v>255</v>
      </c>
      <c r="D17" s="28">
        <v>14</v>
      </c>
      <c r="E17" s="28">
        <v>14</v>
      </c>
      <c r="F17" s="28">
        <v>16</v>
      </c>
      <c r="G17" s="28">
        <v>82.2</v>
      </c>
    </row>
    <row r="18" spans="1:7" x14ac:dyDescent="0.25">
      <c r="A18" s="29" t="s">
        <v>275</v>
      </c>
      <c r="B18" s="30">
        <v>298</v>
      </c>
      <c r="C18" s="30">
        <v>149</v>
      </c>
      <c r="D18" s="30">
        <v>5.5</v>
      </c>
      <c r="E18" s="30">
        <v>8</v>
      </c>
      <c r="F18" s="30">
        <v>13</v>
      </c>
      <c r="G18" s="30">
        <v>32</v>
      </c>
    </row>
    <row r="19" spans="1:7" x14ac:dyDescent="0.25">
      <c r="A19" s="27" t="s">
        <v>128</v>
      </c>
      <c r="B19" s="28">
        <v>300</v>
      </c>
      <c r="C19" s="28">
        <v>150</v>
      </c>
      <c r="D19" s="28">
        <v>6.5</v>
      </c>
      <c r="E19" s="28">
        <v>9</v>
      </c>
      <c r="F19" s="28">
        <v>13</v>
      </c>
      <c r="G19" s="28">
        <v>36.7</v>
      </c>
    </row>
    <row r="20" spans="1:7" x14ac:dyDescent="0.25">
      <c r="A20" s="29" t="s">
        <v>276</v>
      </c>
      <c r="B20" s="30">
        <v>294</v>
      </c>
      <c r="C20" s="30">
        <v>200</v>
      </c>
      <c r="D20" s="30">
        <v>8</v>
      </c>
      <c r="E20" s="30">
        <v>12</v>
      </c>
      <c r="F20" s="30">
        <v>18</v>
      </c>
      <c r="G20" s="30">
        <v>56.8</v>
      </c>
    </row>
    <row r="21" spans="1:7" x14ac:dyDescent="0.25">
      <c r="A21" s="27" t="s">
        <v>277</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278</v>
      </c>
      <c r="B23" s="28">
        <v>300</v>
      </c>
      <c r="C23" s="28">
        <v>305</v>
      </c>
      <c r="D23" s="28">
        <v>15</v>
      </c>
      <c r="E23" s="28">
        <v>15</v>
      </c>
      <c r="F23" s="28">
        <v>18</v>
      </c>
      <c r="G23" s="28">
        <v>106</v>
      </c>
    </row>
    <row r="24" spans="1:7" x14ac:dyDescent="0.25">
      <c r="A24" s="29" t="s">
        <v>279</v>
      </c>
      <c r="B24" s="30">
        <v>346</v>
      </c>
      <c r="C24" s="30">
        <v>174</v>
      </c>
      <c r="D24" s="30">
        <v>6</v>
      </c>
      <c r="E24" s="30">
        <v>9</v>
      </c>
      <c r="F24" s="30">
        <v>14</v>
      </c>
      <c r="G24" s="30">
        <v>41.4</v>
      </c>
    </row>
    <row r="25" spans="1:7" x14ac:dyDescent="0.25">
      <c r="A25" s="27" t="s">
        <v>280</v>
      </c>
      <c r="B25" s="28">
        <v>350</v>
      </c>
      <c r="C25" s="28">
        <v>175</v>
      </c>
      <c r="D25" s="28">
        <v>7</v>
      </c>
      <c r="E25" s="28">
        <v>11</v>
      </c>
      <c r="F25" s="28">
        <v>14</v>
      </c>
      <c r="G25" s="28">
        <v>49.6</v>
      </c>
    </row>
    <row r="26" spans="1:7" x14ac:dyDescent="0.25">
      <c r="A26" s="29" t="s">
        <v>281</v>
      </c>
      <c r="B26" s="30">
        <v>340</v>
      </c>
      <c r="C26" s="30">
        <v>250</v>
      </c>
      <c r="D26" s="30">
        <v>9</v>
      </c>
      <c r="E26" s="30">
        <v>14</v>
      </c>
      <c r="F26" s="30">
        <v>20</v>
      </c>
      <c r="G26" s="30">
        <v>79.7</v>
      </c>
    </row>
    <row r="27" spans="1:7" x14ac:dyDescent="0.25">
      <c r="A27" s="27" t="s">
        <v>282</v>
      </c>
      <c r="B27" s="28">
        <v>344</v>
      </c>
      <c r="C27" s="28">
        <v>348</v>
      </c>
      <c r="D27" s="28">
        <v>10</v>
      </c>
      <c r="E27" s="28">
        <v>16</v>
      </c>
      <c r="F27" s="28">
        <v>20</v>
      </c>
      <c r="G27" s="28">
        <v>115</v>
      </c>
    </row>
    <row r="28" spans="1:7" x14ac:dyDescent="0.25">
      <c r="A28" s="29" t="s">
        <v>283</v>
      </c>
      <c r="B28" s="30">
        <v>350</v>
      </c>
      <c r="C28" s="30">
        <v>350</v>
      </c>
      <c r="D28" s="30">
        <v>12</v>
      </c>
      <c r="E28" s="30">
        <v>19</v>
      </c>
      <c r="F28" s="30">
        <v>20</v>
      </c>
      <c r="G28" s="30">
        <v>137</v>
      </c>
    </row>
    <row r="29" spans="1:7" x14ac:dyDescent="0.25">
      <c r="A29" s="27" t="s">
        <v>284</v>
      </c>
      <c r="B29" s="28">
        <v>396</v>
      </c>
      <c r="C29" s="28">
        <v>199</v>
      </c>
      <c r="D29" s="28">
        <v>7</v>
      </c>
      <c r="E29" s="28">
        <v>11</v>
      </c>
      <c r="F29" s="28">
        <v>16</v>
      </c>
      <c r="G29" s="28">
        <v>56.6</v>
      </c>
    </row>
    <row r="30" spans="1:7" x14ac:dyDescent="0.25">
      <c r="A30" s="29" t="s">
        <v>285</v>
      </c>
      <c r="B30" s="30">
        <v>400</v>
      </c>
      <c r="C30" s="30">
        <v>200</v>
      </c>
      <c r="D30" s="30">
        <v>8</v>
      </c>
      <c r="E30" s="30">
        <v>13</v>
      </c>
      <c r="F30" s="30">
        <v>16</v>
      </c>
      <c r="G30" s="30">
        <v>66</v>
      </c>
    </row>
    <row r="31" spans="1:7" x14ac:dyDescent="0.25">
      <c r="A31" s="27" t="s">
        <v>286</v>
      </c>
      <c r="B31" s="28">
        <v>390</v>
      </c>
      <c r="C31" s="28">
        <v>300</v>
      </c>
      <c r="D31" s="28">
        <v>10</v>
      </c>
      <c r="E31" s="28">
        <v>16</v>
      </c>
      <c r="F31" s="28">
        <v>22</v>
      </c>
      <c r="G31" s="28">
        <v>107</v>
      </c>
    </row>
    <row r="32" spans="1:7" x14ac:dyDescent="0.25">
      <c r="A32" s="29" t="s">
        <v>287</v>
      </c>
      <c r="B32" s="30">
        <v>388</v>
      </c>
      <c r="C32" s="30">
        <v>402</v>
      </c>
      <c r="D32" s="30">
        <v>15</v>
      </c>
      <c r="E32" s="30">
        <v>15</v>
      </c>
      <c r="F32" s="30">
        <v>22</v>
      </c>
      <c r="G32" s="30">
        <v>140</v>
      </c>
    </row>
    <row r="33" spans="1:7" x14ac:dyDescent="0.25">
      <c r="A33" s="27" t="s">
        <v>288</v>
      </c>
      <c r="B33" s="28">
        <v>394</v>
      </c>
      <c r="C33" s="28">
        <v>398</v>
      </c>
      <c r="D33" s="28">
        <v>11</v>
      </c>
      <c r="E33" s="28">
        <v>18</v>
      </c>
      <c r="F33" s="28">
        <v>22</v>
      </c>
      <c r="G33" s="28">
        <v>147</v>
      </c>
    </row>
    <row r="34" spans="1:7" x14ac:dyDescent="0.25">
      <c r="A34" s="29" t="s">
        <v>289</v>
      </c>
      <c r="B34" s="30">
        <v>400</v>
      </c>
      <c r="C34" s="30">
        <v>400</v>
      </c>
      <c r="D34" s="30">
        <v>13</v>
      </c>
      <c r="E34" s="30">
        <v>21</v>
      </c>
      <c r="F34" s="30">
        <v>22</v>
      </c>
      <c r="G34" s="30">
        <v>172</v>
      </c>
    </row>
    <row r="35" spans="1:7" x14ac:dyDescent="0.25">
      <c r="A35" s="27" t="s">
        <v>290</v>
      </c>
      <c r="B35" s="28">
        <v>400</v>
      </c>
      <c r="C35" s="28">
        <v>408</v>
      </c>
      <c r="D35" s="28">
        <v>21</v>
      </c>
      <c r="E35" s="28">
        <v>21</v>
      </c>
      <c r="F35" s="28">
        <v>22</v>
      </c>
      <c r="G35" s="28">
        <v>197</v>
      </c>
    </row>
    <row r="36" spans="1:7" x14ac:dyDescent="0.25">
      <c r="A36" s="29" t="s">
        <v>291</v>
      </c>
      <c r="B36" s="30">
        <v>414</v>
      </c>
      <c r="C36" s="30">
        <v>405</v>
      </c>
      <c r="D36" s="30">
        <v>18</v>
      </c>
      <c r="E36" s="30">
        <v>28</v>
      </c>
      <c r="F36" s="30">
        <v>22</v>
      </c>
      <c r="G36" s="30">
        <v>232</v>
      </c>
    </row>
    <row r="37" spans="1:7" x14ac:dyDescent="0.25">
      <c r="A37" s="27" t="s">
        <v>292</v>
      </c>
      <c r="B37" s="28">
        <v>428</v>
      </c>
      <c r="C37" s="28">
        <v>407</v>
      </c>
      <c r="D37" s="28">
        <v>20</v>
      </c>
      <c r="E37" s="28">
        <v>35</v>
      </c>
      <c r="F37" s="28">
        <v>22</v>
      </c>
      <c r="G37" s="28">
        <v>283</v>
      </c>
    </row>
    <row r="38" spans="1:7" x14ac:dyDescent="0.25">
      <c r="A38" s="29" t="s">
        <v>293</v>
      </c>
      <c r="B38" s="30">
        <v>458</v>
      </c>
      <c r="C38" s="30">
        <v>417</v>
      </c>
      <c r="D38" s="30">
        <v>30</v>
      </c>
      <c r="E38" s="30">
        <v>50</v>
      </c>
      <c r="F38" s="30">
        <v>22</v>
      </c>
      <c r="G38" s="30">
        <v>415</v>
      </c>
    </row>
    <row r="39" spans="1:7" x14ac:dyDescent="0.25">
      <c r="A39" s="27" t="s">
        <v>294</v>
      </c>
      <c r="B39" s="28">
        <v>498</v>
      </c>
      <c r="C39" s="28">
        <v>432</v>
      </c>
      <c r="D39" s="28">
        <v>45</v>
      </c>
      <c r="E39" s="28">
        <v>70</v>
      </c>
      <c r="F39" s="28">
        <v>22</v>
      </c>
      <c r="G39" s="28">
        <v>605</v>
      </c>
    </row>
    <row r="40" spans="1:7" x14ac:dyDescent="0.25">
      <c r="A40" s="29" t="s">
        <v>295</v>
      </c>
      <c r="B40" s="30">
        <v>446</v>
      </c>
      <c r="C40" s="30">
        <v>199</v>
      </c>
      <c r="D40" s="30">
        <v>8</v>
      </c>
      <c r="E40" s="30">
        <v>12</v>
      </c>
      <c r="F40" s="30">
        <v>18</v>
      </c>
      <c r="G40" s="30">
        <v>66.2</v>
      </c>
    </row>
    <row r="41" spans="1:7" x14ac:dyDescent="0.25">
      <c r="A41" s="27" t="s">
        <v>296</v>
      </c>
      <c r="B41" s="28">
        <v>450</v>
      </c>
      <c r="C41" s="28">
        <v>200</v>
      </c>
      <c r="D41" s="28">
        <v>9</v>
      </c>
      <c r="E41" s="28">
        <v>14</v>
      </c>
      <c r="F41" s="28">
        <v>18</v>
      </c>
      <c r="G41" s="28">
        <v>76</v>
      </c>
    </row>
    <row r="42" spans="1:7" x14ac:dyDescent="0.25">
      <c r="A42" s="29" t="s">
        <v>297</v>
      </c>
      <c r="B42" s="30">
        <v>440</v>
      </c>
      <c r="C42" s="30">
        <v>300</v>
      </c>
      <c r="D42" s="30">
        <v>11</v>
      </c>
      <c r="E42" s="30">
        <v>18</v>
      </c>
      <c r="F42" s="30">
        <v>24</v>
      </c>
      <c r="G42" s="30">
        <v>124</v>
      </c>
    </row>
    <row r="43" spans="1:7" x14ac:dyDescent="0.25">
      <c r="A43" s="27" t="s">
        <v>298</v>
      </c>
      <c r="B43" s="28">
        <v>440</v>
      </c>
      <c r="C43" s="28">
        <v>300</v>
      </c>
      <c r="D43" s="28">
        <v>11</v>
      </c>
      <c r="E43" s="28">
        <v>18</v>
      </c>
      <c r="F43" s="28">
        <v>13</v>
      </c>
      <c r="G43" s="28">
        <v>121</v>
      </c>
    </row>
    <row r="44" spans="1:7" x14ac:dyDescent="0.25">
      <c r="A44" s="29" t="s">
        <v>299</v>
      </c>
      <c r="B44" s="30">
        <v>496</v>
      </c>
      <c r="C44" s="30">
        <v>199</v>
      </c>
      <c r="D44" s="30">
        <v>9</v>
      </c>
      <c r="E44" s="30">
        <v>14</v>
      </c>
      <c r="F44" s="30">
        <v>13</v>
      </c>
      <c r="G44" s="30">
        <v>77.9</v>
      </c>
    </row>
    <row r="45" spans="1:7" x14ac:dyDescent="0.25">
      <c r="A45" s="27" t="s">
        <v>300</v>
      </c>
      <c r="B45" s="28">
        <v>500</v>
      </c>
      <c r="C45" s="28">
        <v>200</v>
      </c>
      <c r="D45" s="28">
        <v>10</v>
      </c>
      <c r="E45" s="28">
        <v>16</v>
      </c>
      <c r="F45" s="28">
        <v>13</v>
      </c>
      <c r="G45" s="28">
        <v>88.2</v>
      </c>
    </row>
    <row r="46" spans="1:7" x14ac:dyDescent="0.25">
      <c r="A46" s="29" t="s">
        <v>301</v>
      </c>
      <c r="B46" s="30">
        <v>482</v>
      </c>
      <c r="C46" s="30">
        <v>300</v>
      </c>
      <c r="D46" s="30">
        <v>11</v>
      </c>
      <c r="E46" s="30">
        <v>15</v>
      </c>
      <c r="F46" s="30">
        <v>13</v>
      </c>
      <c r="G46" s="30">
        <v>111</v>
      </c>
    </row>
    <row r="47" spans="1:7" x14ac:dyDescent="0.25">
      <c r="A47" s="27" t="s">
        <v>302</v>
      </c>
      <c r="B47" s="28">
        <v>488</v>
      </c>
      <c r="C47" s="28">
        <v>300</v>
      </c>
      <c r="D47" s="28">
        <v>11</v>
      </c>
      <c r="E47" s="28">
        <v>18</v>
      </c>
      <c r="F47" s="28">
        <v>13</v>
      </c>
      <c r="G47" s="28">
        <v>125</v>
      </c>
    </row>
    <row r="48" spans="1:7" x14ac:dyDescent="0.25">
      <c r="A48" s="29" t="s">
        <v>303</v>
      </c>
      <c r="B48" s="30">
        <v>596</v>
      </c>
      <c r="C48" s="30">
        <v>199</v>
      </c>
      <c r="D48" s="30">
        <v>10</v>
      </c>
      <c r="E48" s="30">
        <v>15</v>
      </c>
      <c r="F48" s="30">
        <v>13</v>
      </c>
      <c r="G48" s="30">
        <v>92.5</v>
      </c>
    </row>
    <row r="49" spans="1:7" x14ac:dyDescent="0.25">
      <c r="A49" s="27" t="s">
        <v>304</v>
      </c>
      <c r="B49" s="28">
        <v>600</v>
      </c>
      <c r="C49" s="28">
        <v>200</v>
      </c>
      <c r="D49" s="28">
        <v>11</v>
      </c>
      <c r="E49" s="28">
        <v>17</v>
      </c>
      <c r="F49" s="28">
        <v>13</v>
      </c>
      <c r="G49" s="28">
        <v>103</v>
      </c>
    </row>
    <row r="50" spans="1:7" x14ac:dyDescent="0.25">
      <c r="A50" s="29" t="s">
        <v>305</v>
      </c>
      <c r="B50" s="30">
        <v>582</v>
      </c>
      <c r="C50" s="30">
        <v>300</v>
      </c>
      <c r="D50" s="30">
        <v>12</v>
      </c>
      <c r="E50" s="30">
        <v>17</v>
      </c>
      <c r="F50" s="30">
        <v>13</v>
      </c>
      <c r="G50" s="30">
        <v>133</v>
      </c>
    </row>
    <row r="51" spans="1:7" x14ac:dyDescent="0.25">
      <c r="A51" s="27" t="s">
        <v>306</v>
      </c>
      <c r="B51" s="28">
        <v>588</v>
      </c>
      <c r="C51" s="28">
        <v>300</v>
      </c>
      <c r="D51" s="28">
        <v>12</v>
      </c>
      <c r="E51" s="28">
        <v>20</v>
      </c>
      <c r="F51" s="28">
        <v>13</v>
      </c>
      <c r="G51" s="28">
        <v>147</v>
      </c>
    </row>
    <row r="52" spans="1:7" x14ac:dyDescent="0.25">
      <c r="A52" s="29" t="s">
        <v>307</v>
      </c>
      <c r="B52" s="30">
        <v>594</v>
      </c>
      <c r="C52" s="30">
        <v>302</v>
      </c>
      <c r="D52" s="30">
        <v>14</v>
      </c>
      <c r="E52" s="30">
        <v>23</v>
      </c>
      <c r="F52" s="30">
        <v>13</v>
      </c>
      <c r="G52" s="30">
        <v>170</v>
      </c>
    </row>
    <row r="53" spans="1:7" x14ac:dyDescent="0.25">
      <c r="A53" s="27" t="s">
        <v>308</v>
      </c>
      <c r="B53" s="28">
        <v>692</v>
      </c>
      <c r="C53" s="28">
        <v>300</v>
      </c>
      <c r="D53" s="28">
        <v>13</v>
      </c>
      <c r="E53" s="28">
        <v>20</v>
      </c>
      <c r="F53" s="28">
        <v>18</v>
      </c>
      <c r="G53" s="28">
        <v>163</v>
      </c>
    </row>
    <row r="54" spans="1:7" x14ac:dyDescent="0.25">
      <c r="A54" s="29" t="s">
        <v>309</v>
      </c>
      <c r="B54" s="30">
        <v>700</v>
      </c>
      <c r="C54" s="30">
        <v>300</v>
      </c>
      <c r="D54" s="30">
        <v>13</v>
      </c>
      <c r="E54" s="30">
        <v>24</v>
      </c>
      <c r="F54" s="30">
        <v>18</v>
      </c>
      <c r="G54" s="30">
        <v>182</v>
      </c>
    </row>
    <row r="55" spans="1:7" x14ac:dyDescent="0.25">
      <c r="A55" s="27" t="s">
        <v>310</v>
      </c>
      <c r="B55" s="28">
        <v>792</v>
      </c>
      <c r="C55" s="28">
        <v>300</v>
      </c>
      <c r="D55" s="28">
        <v>14</v>
      </c>
      <c r="E55" s="28">
        <v>22</v>
      </c>
      <c r="F55" s="28">
        <v>18</v>
      </c>
      <c r="G55" s="28">
        <v>188</v>
      </c>
    </row>
    <row r="56" spans="1:7" x14ac:dyDescent="0.25">
      <c r="A56" s="29" t="s">
        <v>311</v>
      </c>
      <c r="B56" s="30">
        <v>800</v>
      </c>
      <c r="C56" s="30">
        <v>300</v>
      </c>
      <c r="D56" s="30">
        <v>14</v>
      </c>
      <c r="E56" s="30">
        <v>26</v>
      </c>
      <c r="F56" s="30">
        <v>18</v>
      </c>
      <c r="G56" s="30">
        <v>207</v>
      </c>
    </row>
    <row r="57" spans="1:7" x14ac:dyDescent="0.25">
      <c r="A57" s="27" t="s">
        <v>312</v>
      </c>
      <c r="B57" s="28">
        <v>890</v>
      </c>
      <c r="C57" s="28">
        <v>299</v>
      </c>
      <c r="D57" s="28">
        <v>15</v>
      </c>
      <c r="E57" s="28">
        <v>23</v>
      </c>
      <c r="F57" s="28">
        <v>18</v>
      </c>
      <c r="G57" s="28">
        <v>210</v>
      </c>
    </row>
    <row r="58" spans="1:7" x14ac:dyDescent="0.25">
      <c r="A58" s="29" t="s">
        <v>313</v>
      </c>
      <c r="B58" s="30">
        <v>900</v>
      </c>
      <c r="C58" s="30">
        <v>300</v>
      </c>
      <c r="D58" s="30">
        <v>16</v>
      </c>
      <c r="E58" s="30">
        <v>28</v>
      </c>
      <c r="F58" s="30">
        <v>18</v>
      </c>
      <c r="G58" s="30">
        <v>240</v>
      </c>
    </row>
    <row r="59" spans="1:7" x14ac:dyDescent="0.25">
      <c r="A59" s="27" t="s">
        <v>314</v>
      </c>
      <c r="B59" s="28">
        <v>912</v>
      </c>
      <c r="C59" s="28">
        <v>302</v>
      </c>
      <c r="D59" s="28">
        <v>18</v>
      </c>
      <c r="E59" s="28">
        <v>34</v>
      </c>
      <c r="F59" s="28">
        <v>18</v>
      </c>
      <c r="G59" s="28">
        <v>283</v>
      </c>
    </row>
    <row r="60" spans="1:7" x14ac:dyDescent="0.25">
      <c r="A60" s="29" t="s">
        <v>315</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126</v>
      </c>
      <c r="E1" s="24" t="s">
        <v>9</v>
      </c>
      <c r="F1" s="24" t="s">
        <v>10</v>
      </c>
      <c r="G1" s="24" t="s">
        <v>12</v>
      </c>
    </row>
    <row r="2" spans="1:7" x14ac:dyDescent="0.25">
      <c r="A2" s="25" t="s">
        <v>259</v>
      </c>
      <c r="B2" s="26"/>
      <c r="C2" s="26"/>
      <c r="D2" s="26"/>
      <c r="E2" s="26"/>
      <c r="F2" s="26"/>
      <c r="G2" s="26"/>
    </row>
    <row r="3" spans="1:7" x14ac:dyDescent="0.25">
      <c r="A3" s="27" t="s">
        <v>316</v>
      </c>
      <c r="B3" s="28">
        <v>20</v>
      </c>
      <c r="C3" s="28">
        <v>20</v>
      </c>
      <c r="D3" s="28">
        <v>1.2</v>
      </c>
      <c r="E3" s="28">
        <v>1.2</v>
      </c>
      <c r="F3" s="28">
        <v>2.4</v>
      </c>
      <c r="G3" s="28">
        <v>0.68</v>
      </c>
    </row>
    <row r="4" spans="1:7" x14ac:dyDescent="0.25">
      <c r="A4" s="29" t="s">
        <v>317</v>
      </c>
      <c r="B4" s="30">
        <v>20</v>
      </c>
      <c r="C4" s="30">
        <v>20</v>
      </c>
      <c r="D4" s="30">
        <v>1.6</v>
      </c>
      <c r="E4" s="30">
        <v>1.6</v>
      </c>
      <c r="F4" s="30">
        <v>3.2</v>
      </c>
      <c r="G4" s="30">
        <v>0.87</v>
      </c>
    </row>
    <row r="5" spans="1:7" x14ac:dyDescent="0.25">
      <c r="A5" s="27" t="s">
        <v>318</v>
      </c>
      <c r="B5" s="28">
        <v>25</v>
      </c>
      <c r="C5" s="28">
        <v>25</v>
      </c>
      <c r="D5" s="28">
        <v>1.2</v>
      </c>
      <c r="E5" s="28">
        <v>1.2</v>
      </c>
      <c r="F5" s="28">
        <v>2.4</v>
      </c>
      <c r="G5" s="28">
        <v>0.87</v>
      </c>
    </row>
    <row r="6" spans="1:7" x14ac:dyDescent="0.25">
      <c r="A6" s="29" t="s">
        <v>319</v>
      </c>
      <c r="B6" s="30">
        <v>25</v>
      </c>
      <c r="C6" s="30">
        <v>25</v>
      </c>
      <c r="D6" s="30">
        <v>1.6</v>
      </c>
      <c r="E6" s="30">
        <v>1.6</v>
      </c>
      <c r="F6" s="30">
        <v>3.2</v>
      </c>
      <c r="G6" s="30">
        <v>1.12</v>
      </c>
    </row>
    <row r="7" spans="1:7" x14ac:dyDescent="0.25">
      <c r="A7" s="27" t="s">
        <v>320</v>
      </c>
      <c r="B7" s="28">
        <v>30</v>
      </c>
      <c r="C7" s="28">
        <v>30</v>
      </c>
      <c r="D7" s="28">
        <v>1.2</v>
      </c>
      <c r="E7" s="28">
        <v>1.2</v>
      </c>
      <c r="F7" s="28">
        <v>2.4</v>
      </c>
      <c r="G7" s="28">
        <v>1.06</v>
      </c>
    </row>
    <row r="8" spans="1:7" x14ac:dyDescent="0.25">
      <c r="A8" s="29" t="s">
        <v>321</v>
      </c>
      <c r="B8" s="30">
        <v>30</v>
      </c>
      <c r="C8" s="30">
        <v>30</v>
      </c>
      <c r="D8" s="30">
        <v>1.6</v>
      </c>
      <c r="E8" s="30">
        <v>1.6</v>
      </c>
      <c r="F8" s="30">
        <v>3.2</v>
      </c>
      <c r="G8" s="30">
        <v>1.38</v>
      </c>
    </row>
    <row r="9" spans="1:7" x14ac:dyDescent="0.25">
      <c r="A9" s="27" t="s">
        <v>322</v>
      </c>
      <c r="B9" s="28">
        <v>40</v>
      </c>
      <c r="C9" s="28">
        <v>40</v>
      </c>
      <c r="D9" s="28">
        <v>1.6</v>
      </c>
      <c r="E9" s="28">
        <v>1.6</v>
      </c>
      <c r="F9" s="28">
        <v>3.2</v>
      </c>
      <c r="G9" s="28">
        <v>1.88</v>
      </c>
    </row>
    <row r="10" spans="1:7" x14ac:dyDescent="0.25">
      <c r="A10" s="29" t="s">
        <v>323</v>
      </c>
      <c r="B10" s="30">
        <v>40</v>
      </c>
      <c r="C10" s="30">
        <v>40</v>
      </c>
      <c r="D10" s="30">
        <v>2.3</v>
      </c>
      <c r="E10" s="30">
        <v>2.3</v>
      </c>
      <c r="F10" s="30">
        <v>4.6</v>
      </c>
      <c r="G10" s="30">
        <v>2.62</v>
      </c>
    </row>
    <row r="11" spans="1:7" x14ac:dyDescent="0.25">
      <c r="A11" s="27" t="s">
        <v>324</v>
      </c>
      <c r="B11" s="28">
        <v>50</v>
      </c>
      <c r="C11" s="28">
        <v>50</v>
      </c>
      <c r="D11" s="28">
        <v>1.6</v>
      </c>
      <c r="E11" s="28">
        <v>1.6</v>
      </c>
      <c r="F11" s="28">
        <v>3.2</v>
      </c>
      <c r="G11" s="28">
        <v>2.38</v>
      </c>
    </row>
    <row r="12" spans="1:7" x14ac:dyDescent="0.25">
      <c r="A12" s="29" t="s">
        <v>325</v>
      </c>
      <c r="B12" s="30">
        <v>50</v>
      </c>
      <c r="C12" s="30">
        <v>50</v>
      </c>
      <c r="D12" s="30">
        <v>2.3</v>
      </c>
      <c r="E12" s="30">
        <v>2.3</v>
      </c>
      <c r="F12" s="30">
        <v>4.6</v>
      </c>
      <c r="G12" s="30">
        <v>3.34</v>
      </c>
    </row>
    <row r="13" spans="1:7" x14ac:dyDescent="0.25">
      <c r="A13" s="27" t="s">
        <v>326</v>
      </c>
      <c r="B13" s="28">
        <v>50</v>
      </c>
      <c r="C13" s="28">
        <v>50</v>
      </c>
      <c r="D13" s="28">
        <v>3.2</v>
      </c>
      <c r="E13" s="28">
        <v>3.2</v>
      </c>
      <c r="F13" s="28">
        <v>6.4</v>
      </c>
      <c r="G13" s="28">
        <v>4.5</v>
      </c>
    </row>
    <row r="14" spans="1:7" x14ac:dyDescent="0.25">
      <c r="A14" s="29" t="s">
        <v>327</v>
      </c>
      <c r="B14" s="30">
        <v>60</v>
      </c>
      <c r="C14" s="30">
        <v>60</v>
      </c>
      <c r="D14" s="30">
        <v>1.6</v>
      </c>
      <c r="E14" s="30">
        <v>1.6</v>
      </c>
      <c r="F14" s="30">
        <v>3.2</v>
      </c>
      <c r="G14" s="30">
        <v>2.88</v>
      </c>
    </row>
    <row r="15" spans="1:7" x14ac:dyDescent="0.25">
      <c r="A15" s="27" t="s">
        <v>328</v>
      </c>
      <c r="B15" s="28">
        <v>60</v>
      </c>
      <c r="C15" s="28">
        <v>60</v>
      </c>
      <c r="D15" s="28">
        <v>2.3</v>
      </c>
      <c r="E15" s="28">
        <v>2.3</v>
      </c>
      <c r="F15" s="28">
        <v>4.6</v>
      </c>
      <c r="G15" s="28">
        <v>4.06</v>
      </c>
    </row>
    <row r="16" spans="1:7" x14ac:dyDescent="0.25">
      <c r="A16" s="29" t="s">
        <v>329</v>
      </c>
      <c r="B16" s="30">
        <v>60</v>
      </c>
      <c r="C16" s="30">
        <v>60</v>
      </c>
      <c r="D16" s="30">
        <v>3.2</v>
      </c>
      <c r="E16" s="30">
        <v>3.2</v>
      </c>
      <c r="F16" s="30">
        <v>6.4</v>
      </c>
      <c r="G16" s="30">
        <v>5.5</v>
      </c>
    </row>
    <row r="17" spans="1:7" x14ac:dyDescent="0.25">
      <c r="A17" s="27" t="s">
        <v>330</v>
      </c>
      <c r="B17" s="28">
        <v>75</v>
      </c>
      <c r="C17" s="28">
        <v>75</v>
      </c>
      <c r="D17" s="28">
        <v>1.6</v>
      </c>
      <c r="E17" s="28">
        <v>1.6</v>
      </c>
      <c r="F17" s="28">
        <v>3.2</v>
      </c>
      <c r="G17" s="28">
        <v>3.64</v>
      </c>
    </row>
    <row r="18" spans="1:7" x14ac:dyDescent="0.25">
      <c r="A18" s="29" t="s">
        <v>331</v>
      </c>
      <c r="B18" s="30">
        <v>75</v>
      </c>
      <c r="C18" s="30">
        <v>75</v>
      </c>
      <c r="D18" s="30">
        <v>2.3</v>
      </c>
      <c r="E18" s="30">
        <v>2.3</v>
      </c>
      <c r="F18" s="30">
        <v>4.6</v>
      </c>
      <c r="G18" s="30">
        <v>5.14</v>
      </c>
    </row>
    <row r="19" spans="1:7" x14ac:dyDescent="0.25">
      <c r="A19" s="27" t="s">
        <v>332</v>
      </c>
      <c r="B19" s="28">
        <v>75</v>
      </c>
      <c r="C19" s="28">
        <v>75</v>
      </c>
      <c r="D19" s="28">
        <v>3.2</v>
      </c>
      <c r="E19" s="28">
        <v>3.2</v>
      </c>
      <c r="F19" s="28">
        <v>6.4</v>
      </c>
      <c r="G19" s="28">
        <v>7.01</v>
      </c>
    </row>
    <row r="20" spans="1:7" x14ac:dyDescent="0.25">
      <c r="A20" s="29" t="s">
        <v>333</v>
      </c>
      <c r="B20" s="30">
        <v>75</v>
      </c>
      <c r="C20" s="30">
        <v>75</v>
      </c>
      <c r="D20" s="30">
        <v>4.5</v>
      </c>
      <c r="E20" s="30">
        <v>4.5</v>
      </c>
      <c r="F20" s="30">
        <v>9</v>
      </c>
      <c r="G20" s="30">
        <v>9.55</v>
      </c>
    </row>
    <row r="21" spans="1:7" x14ac:dyDescent="0.25">
      <c r="A21" s="27" t="s">
        <v>334</v>
      </c>
      <c r="B21" s="28">
        <v>80</v>
      </c>
      <c r="C21" s="28">
        <v>80</v>
      </c>
      <c r="D21" s="28">
        <v>2.3</v>
      </c>
      <c r="E21" s="28">
        <v>2.3</v>
      </c>
      <c r="F21" s="28">
        <v>4.6</v>
      </c>
      <c r="G21" s="28">
        <v>5.5</v>
      </c>
    </row>
    <row r="22" spans="1:7" x14ac:dyDescent="0.25">
      <c r="A22" s="29" t="s">
        <v>335</v>
      </c>
      <c r="B22" s="30">
        <v>80</v>
      </c>
      <c r="C22" s="30">
        <v>80</v>
      </c>
      <c r="D22" s="30">
        <v>3.2</v>
      </c>
      <c r="E22" s="30">
        <v>3.2</v>
      </c>
      <c r="F22" s="30">
        <v>6.4</v>
      </c>
      <c r="G22" s="30">
        <v>7.51</v>
      </c>
    </row>
    <row r="23" spans="1:7" x14ac:dyDescent="0.25">
      <c r="A23" s="27" t="s">
        <v>336</v>
      </c>
      <c r="B23" s="28">
        <v>80</v>
      </c>
      <c r="C23" s="28">
        <v>80</v>
      </c>
      <c r="D23" s="28">
        <v>4.5</v>
      </c>
      <c r="E23" s="28">
        <v>4.5</v>
      </c>
      <c r="F23" s="28">
        <v>9</v>
      </c>
      <c r="G23" s="28">
        <v>10.26</v>
      </c>
    </row>
    <row r="24" spans="1:7" x14ac:dyDescent="0.25">
      <c r="A24" s="29" t="s">
        <v>337</v>
      </c>
      <c r="B24" s="30">
        <v>90</v>
      </c>
      <c r="C24" s="30">
        <v>90</v>
      </c>
      <c r="D24" s="30">
        <v>2.3</v>
      </c>
      <c r="E24" s="30">
        <v>2.3</v>
      </c>
      <c r="F24" s="30">
        <v>4.6</v>
      </c>
      <c r="G24" s="30">
        <v>6.23</v>
      </c>
    </row>
    <row r="25" spans="1:7" x14ac:dyDescent="0.25">
      <c r="A25" s="27" t="s">
        <v>338</v>
      </c>
      <c r="B25" s="28">
        <v>90</v>
      </c>
      <c r="C25" s="28">
        <v>90</v>
      </c>
      <c r="D25" s="28">
        <v>3.2</v>
      </c>
      <c r="E25" s="28">
        <v>3.2</v>
      </c>
      <c r="F25" s="28">
        <v>6.4</v>
      </c>
      <c r="G25" s="28">
        <v>8.51</v>
      </c>
    </row>
    <row r="26" spans="1:7" x14ac:dyDescent="0.25">
      <c r="A26" s="29" t="s">
        <v>339</v>
      </c>
      <c r="B26" s="30">
        <v>100</v>
      </c>
      <c r="C26" s="30">
        <v>100</v>
      </c>
      <c r="D26" s="30">
        <v>2.3</v>
      </c>
      <c r="E26" s="30">
        <v>2.3</v>
      </c>
      <c r="F26" s="30">
        <v>4.6</v>
      </c>
      <c r="G26" s="30">
        <v>6.95</v>
      </c>
    </row>
    <row r="27" spans="1:7" x14ac:dyDescent="0.25">
      <c r="A27" s="27" t="s">
        <v>340</v>
      </c>
      <c r="B27" s="28">
        <v>100</v>
      </c>
      <c r="C27" s="28">
        <v>100</v>
      </c>
      <c r="D27" s="28">
        <v>3.2</v>
      </c>
      <c r="E27" s="28">
        <v>3.2</v>
      </c>
      <c r="F27" s="28">
        <v>6.4</v>
      </c>
      <c r="G27" s="28">
        <v>9.52</v>
      </c>
    </row>
    <row r="28" spans="1:7" x14ac:dyDescent="0.25">
      <c r="A28" s="29" t="s">
        <v>341</v>
      </c>
      <c r="B28" s="30">
        <v>100</v>
      </c>
      <c r="C28" s="30">
        <v>100</v>
      </c>
      <c r="D28" s="30">
        <v>4</v>
      </c>
      <c r="E28" s="30">
        <v>4</v>
      </c>
      <c r="F28" s="30">
        <v>8</v>
      </c>
      <c r="G28" s="30">
        <v>11.73</v>
      </c>
    </row>
    <row r="29" spans="1:7" x14ac:dyDescent="0.25">
      <c r="A29" s="27" t="s">
        <v>342</v>
      </c>
      <c r="B29" s="28">
        <v>100</v>
      </c>
      <c r="C29" s="28">
        <v>100</v>
      </c>
      <c r="D29" s="28">
        <v>4.5</v>
      </c>
      <c r="E29" s="28">
        <v>4.5</v>
      </c>
      <c r="F29" s="28">
        <v>9</v>
      </c>
      <c r="G29" s="28">
        <v>13.08</v>
      </c>
    </row>
    <row r="30" spans="1:7" x14ac:dyDescent="0.25">
      <c r="A30" s="29" t="s">
        <v>343</v>
      </c>
      <c r="B30" s="30">
        <v>100</v>
      </c>
      <c r="C30" s="30">
        <v>100</v>
      </c>
      <c r="D30" s="30">
        <v>6</v>
      </c>
      <c r="E30" s="30">
        <v>6</v>
      </c>
      <c r="F30" s="30">
        <v>12</v>
      </c>
      <c r="G30" s="30">
        <v>16.98</v>
      </c>
    </row>
    <row r="31" spans="1:7" x14ac:dyDescent="0.25">
      <c r="A31" s="27" t="s">
        <v>344</v>
      </c>
      <c r="B31" s="28">
        <v>100</v>
      </c>
      <c r="C31" s="28">
        <v>100</v>
      </c>
      <c r="D31" s="28">
        <v>9</v>
      </c>
      <c r="E31" s="28">
        <v>9</v>
      </c>
      <c r="F31" s="28">
        <v>18</v>
      </c>
      <c r="G31" s="28">
        <v>24.08</v>
      </c>
    </row>
    <row r="32" spans="1:7" x14ac:dyDescent="0.25">
      <c r="A32" s="29" t="s">
        <v>345</v>
      </c>
      <c r="B32" s="30">
        <v>100</v>
      </c>
      <c r="C32" s="30">
        <v>100</v>
      </c>
      <c r="D32" s="30">
        <v>12</v>
      </c>
      <c r="E32" s="30">
        <v>12</v>
      </c>
      <c r="F32" s="30">
        <v>24</v>
      </c>
      <c r="G32" s="30">
        <v>30.25</v>
      </c>
    </row>
    <row r="33" spans="1:7" x14ac:dyDescent="0.25">
      <c r="A33" s="27" t="s">
        <v>346</v>
      </c>
      <c r="B33" s="28">
        <v>125</v>
      </c>
      <c r="C33" s="28">
        <v>125</v>
      </c>
      <c r="D33" s="28">
        <v>3.2</v>
      </c>
      <c r="E33" s="28">
        <v>3.2</v>
      </c>
      <c r="F33" s="28">
        <v>6.4</v>
      </c>
      <c r="G33" s="28">
        <v>12.03</v>
      </c>
    </row>
    <row r="34" spans="1:7" x14ac:dyDescent="0.25">
      <c r="A34" s="29" t="s">
        <v>347</v>
      </c>
      <c r="B34" s="30">
        <v>125</v>
      </c>
      <c r="C34" s="30">
        <v>125</v>
      </c>
      <c r="D34" s="30">
        <v>4.5</v>
      </c>
      <c r="E34" s="30">
        <v>4.5</v>
      </c>
      <c r="F34" s="30">
        <v>9</v>
      </c>
      <c r="G34" s="30">
        <v>16.62</v>
      </c>
    </row>
    <row r="35" spans="1:7" x14ac:dyDescent="0.25">
      <c r="A35" s="27" t="s">
        <v>348</v>
      </c>
      <c r="B35" s="28">
        <v>125</v>
      </c>
      <c r="C35" s="28">
        <v>125</v>
      </c>
      <c r="D35" s="28">
        <v>5</v>
      </c>
      <c r="E35" s="28">
        <v>5</v>
      </c>
      <c r="F35" s="28">
        <v>10</v>
      </c>
      <c r="G35" s="28">
        <v>18.33</v>
      </c>
    </row>
    <row r="36" spans="1:7" x14ac:dyDescent="0.25">
      <c r="A36" s="29" t="s">
        <v>349</v>
      </c>
      <c r="B36" s="30">
        <v>125</v>
      </c>
      <c r="C36" s="30">
        <v>125</v>
      </c>
      <c r="D36" s="30">
        <v>6</v>
      </c>
      <c r="E36" s="30">
        <v>6</v>
      </c>
      <c r="F36" s="30">
        <v>12</v>
      </c>
      <c r="G36" s="30">
        <v>21.69</v>
      </c>
    </row>
    <row r="37" spans="1:7" x14ac:dyDescent="0.25">
      <c r="A37" s="27" t="s">
        <v>350</v>
      </c>
      <c r="B37" s="28">
        <v>125</v>
      </c>
      <c r="C37" s="28">
        <v>125</v>
      </c>
      <c r="D37" s="28">
        <v>9</v>
      </c>
      <c r="E37" s="28">
        <v>9</v>
      </c>
      <c r="F37" s="28">
        <v>18</v>
      </c>
      <c r="G37" s="28">
        <v>31.14</v>
      </c>
    </row>
    <row r="38" spans="1:7" x14ac:dyDescent="0.25">
      <c r="A38" s="29" t="s">
        <v>351</v>
      </c>
      <c r="B38" s="30">
        <v>125</v>
      </c>
      <c r="C38" s="30">
        <v>125</v>
      </c>
      <c r="D38" s="30">
        <v>12</v>
      </c>
      <c r="E38" s="30">
        <v>12</v>
      </c>
      <c r="F38" s="30">
        <v>24</v>
      </c>
      <c r="G38" s="30">
        <v>39.67</v>
      </c>
    </row>
    <row r="39" spans="1:7" x14ac:dyDescent="0.25">
      <c r="A39" s="27" t="s">
        <v>352</v>
      </c>
      <c r="B39" s="28">
        <v>150</v>
      </c>
      <c r="C39" s="28">
        <v>150</v>
      </c>
      <c r="D39" s="28">
        <v>4.5</v>
      </c>
      <c r="E39" s="28">
        <v>4.5</v>
      </c>
      <c r="F39" s="28">
        <v>9</v>
      </c>
      <c r="G39" s="28">
        <v>20.15</v>
      </c>
    </row>
    <row r="40" spans="1:7" x14ac:dyDescent="0.25">
      <c r="A40" s="29" t="s">
        <v>353</v>
      </c>
      <c r="B40" s="30">
        <v>150</v>
      </c>
      <c r="C40" s="30">
        <v>150</v>
      </c>
      <c r="D40" s="30">
        <v>5</v>
      </c>
      <c r="E40" s="30">
        <v>5</v>
      </c>
      <c r="F40" s="30">
        <v>10</v>
      </c>
      <c r="G40" s="30">
        <v>22.26</v>
      </c>
    </row>
    <row r="41" spans="1:7" x14ac:dyDescent="0.25">
      <c r="A41" s="27" t="s">
        <v>354</v>
      </c>
      <c r="B41" s="28">
        <v>150</v>
      </c>
      <c r="C41" s="28">
        <v>150</v>
      </c>
      <c r="D41" s="28">
        <v>6</v>
      </c>
      <c r="E41" s="28">
        <v>6</v>
      </c>
      <c r="F41" s="28">
        <v>12</v>
      </c>
      <c r="G41" s="28">
        <v>26.4</v>
      </c>
    </row>
    <row r="42" spans="1:7" x14ac:dyDescent="0.25">
      <c r="A42" s="29" t="s">
        <v>355</v>
      </c>
      <c r="B42" s="30">
        <v>150</v>
      </c>
      <c r="C42" s="30">
        <v>150</v>
      </c>
      <c r="D42" s="30">
        <v>9</v>
      </c>
      <c r="E42" s="30">
        <v>9</v>
      </c>
      <c r="F42" s="30">
        <v>18</v>
      </c>
      <c r="G42" s="30">
        <v>38.21</v>
      </c>
    </row>
    <row r="43" spans="1:7" x14ac:dyDescent="0.25">
      <c r="A43" s="27" t="s">
        <v>356</v>
      </c>
      <c r="B43" s="28">
        <v>175</v>
      </c>
      <c r="C43" s="28">
        <v>175</v>
      </c>
      <c r="D43" s="28">
        <v>4.5</v>
      </c>
      <c r="E43" s="28">
        <v>4.5</v>
      </c>
      <c r="F43" s="28">
        <v>9</v>
      </c>
      <c r="G43" s="28">
        <v>23.68</v>
      </c>
    </row>
    <row r="44" spans="1:7" x14ac:dyDescent="0.25">
      <c r="A44" s="29" t="s">
        <v>357</v>
      </c>
      <c r="B44" s="30">
        <v>175</v>
      </c>
      <c r="C44" s="30">
        <v>175</v>
      </c>
      <c r="D44" s="30">
        <v>5</v>
      </c>
      <c r="E44" s="30">
        <v>5</v>
      </c>
      <c r="F44" s="30">
        <v>10</v>
      </c>
      <c r="G44" s="30">
        <v>26.18</v>
      </c>
    </row>
    <row r="45" spans="1:7" x14ac:dyDescent="0.25">
      <c r="A45" s="27" t="s">
        <v>358</v>
      </c>
      <c r="B45" s="28">
        <v>175</v>
      </c>
      <c r="C45" s="28">
        <v>175</v>
      </c>
      <c r="D45" s="28">
        <v>6</v>
      </c>
      <c r="E45" s="28">
        <v>6</v>
      </c>
      <c r="F45" s="28">
        <v>12</v>
      </c>
      <c r="G45" s="28">
        <v>31.11</v>
      </c>
    </row>
    <row r="46" spans="1:7" x14ac:dyDescent="0.25">
      <c r="A46" s="29" t="s">
        <v>359</v>
      </c>
      <c r="B46" s="30">
        <v>200</v>
      </c>
      <c r="C46" s="30">
        <v>200</v>
      </c>
      <c r="D46" s="30">
        <v>4.5</v>
      </c>
      <c r="E46" s="30">
        <v>4.5</v>
      </c>
      <c r="F46" s="30">
        <v>9</v>
      </c>
      <c r="G46" s="30">
        <v>27.21</v>
      </c>
    </row>
    <row r="47" spans="1:7" x14ac:dyDescent="0.25">
      <c r="A47" s="27" t="s">
        <v>360</v>
      </c>
      <c r="B47" s="28">
        <v>200</v>
      </c>
      <c r="C47" s="28">
        <v>200</v>
      </c>
      <c r="D47" s="28">
        <v>5</v>
      </c>
      <c r="E47" s="28">
        <v>5</v>
      </c>
      <c r="F47" s="28">
        <v>10</v>
      </c>
      <c r="G47" s="28">
        <v>30.11</v>
      </c>
    </row>
    <row r="48" spans="1:7" x14ac:dyDescent="0.25">
      <c r="A48" s="29" t="s">
        <v>361</v>
      </c>
      <c r="B48" s="30">
        <v>200</v>
      </c>
      <c r="C48" s="30">
        <v>200</v>
      </c>
      <c r="D48" s="30">
        <v>6</v>
      </c>
      <c r="E48" s="30">
        <v>6</v>
      </c>
      <c r="F48" s="30">
        <v>12</v>
      </c>
      <c r="G48" s="30">
        <v>35.82</v>
      </c>
    </row>
    <row r="49" spans="1:7" x14ac:dyDescent="0.25">
      <c r="A49" s="27" t="s">
        <v>362</v>
      </c>
      <c r="B49" s="28">
        <v>200</v>
      </c>
      <c r="C49" s="28">
        <v>200</v>
      </c>
      <c r="D49" s="28">
        <v>9</v>
      </c>
      <c r="E49" s="28">
        <v>9</v>
      </c>
      <c r="F49" s="28">
        <v>18</v>
      </c>
      <c r="G49" s="28">
        <v>52.34</v>
      </c>
    </row>
    <row r="50" spans="1:7" x14ac:dyDescent="0.25">
      <c r="A50" s="29" t="s">
        <v>363</v>
      </c>
      <c r="B50" s="30">
        <v>200</v>
      </c>
      <c r="C50" s="30">
        <v>200</v>
      </c>
      <c r="D50" s="30">
        <v>12</v>
      </c>
      <c r="E50" s="30">
        <v>12</v>
      </c>
      <c r="F50" s="30">
        <v>24</v>
      </c>
      <c r="G50" s="30">
        <v>67.93</v>
      </c>
    </row>
    <row r="51" spans="1:7" x14ac:dyDescent="0.25">
      <c r="A51" s="27" t="s">
        <v>364</v>
      </c>
      <c r="B51" s="28">
        <v>250</v>
      </c>
      <c r="C51" s="28">
        <v>250</v>
      </c>
      <c r="D51" s="28">
        <v>5</v>
      </c>
      <c r="E51" s="28">
        <v>5</v>
      </c>
      <c r="F51" s="28">
        <v>10</v>
      </c>
      <c r="G51" s="28">
        <v>37.96</v>
      </c>
    </row>
    <row r="52" spans="1:7" x14ac:dyDescent="0.25">
      <c r="A52" s="29" t="s">
        <v>365</v>
      </c>
      <c r="B52" s="30">
        <v>250</v>
      </c>
      <c r="C52" s="30">
        <v>250</v>
      </c>
      <c r="D52" s="30">
        <v>6</v>
      </c>
      <c r="E52" s="30">
        <v>6</v>
      </c>
      <c r="F52" s="30">
        <v>12</v>
      </c>
      <c r="G52" s="30">
        <v>45.24</v>
      </c>
    </row>
    <row r="53" spans="1:7" x14ac:dyDescent="0.25">
      <c r="A53" s="27" t="s">
        <v>366</v>
      </c>
      <c r="B53" s="28">
        <v>250</v>
      </c>
      <c r="C53" s="28">
        <v>250</v>
      </c>
      <c r="D53" s="28">
        <v>8</v>
      </c>
      <c r="E53" s="28">
        <v>8</v>
      </c>
      <c r="F53" s="28">
        <v>16</v>
      </c>
      <c r="G53" s="28">
        <v>59.5</v>
      </c>
    </row>
    <row r="54" spans="1:7" x14ac:dyDescent="0.25">
      <c r="A54" s="29" t="s">
        <v>367</v>
      </c>
      <c r="B54" s="30">
        <v>250</v>
      </c>
      <c r="C54" s="30">
        <v>250</v>
      </c>
      <c r="D54" s="30">
        <v>9</v>
      </c>
      <c r="E54" s="30">
        <v>9</v>
      </c>
      <c r="F54" s="30">
        <v>18</v>
      </c>
      <c r="G54" s="30">
        <v>66.47</v>
      </c>
    </row>
    <row r="55" spans="1:7" x14ac:dyDescent="0.25">
      <c r="A55" s="27" t="s">
        <v>368</v>
      </c>
      <c r="B55" s="28">
        <v>250</v>
      </c>
      <c r="C55" s="28">
        <v>250</v>
      </c>
      <c r="D55" s="28">
        <v>12</v>
      </c>
      <c r="E55" s="28">
        <v>12</v>
      </c>
      <c r="F55" s="28">
        <v>24</v>
      </c>
      <c r="G55" s="28">
        <v>86.77</v>
      </c>
    </row>
    <row r="56" spans="1:7" x14ac:dyDescent="0.25">
      <c r="A56" s="29" t="s">
        <v>369</v>
      </c>
      <c r="B56" s="30">
        <v>300</v>
      </c>
      <c r="C56" s="30">
        <v>300</v>
      </c>
      <c r="D56" s="30">
        <v>4.5</v>
      </c>
      <c r="E56" s="30">
        <v>4.5</v>
      </c>
      <c r="F56" s="30">
        <v>9</v>
      </c>
      <c r="G56" s="30">
        <v>41.34</v>
      </c>
    </row>
    <row r="57" spans="1:7" x14ac:dyDescent="0.25">
      <c r="A57" s="27" t="s">
        <v>370</v>
      </c>
      <c r="B57" s="28">
        <v>300</v>
      </c>
      <c r="C57" s="28">
        <v>300</v>
      </c>
      <c r="D57" s="28">
        <v>6</v>
      </c>
      <c r="E57" s="28">
        <v>6</v>
      </c>
      <c r="F57" s="28">
        <v>12</v>
      </c>
      <c r="G57" s="28">
        <v>54.66</v>
      </c>
    </row>
    <row r="58" spans="1:7" x14ac:dyDescent="0.25">
      <c r="A58" s="29" t="s">
        <v>371</v>
      </c>
      <c r="B58" s="30">
        <v>300</v>
      </c>
      <c r="C58" s="30">
        <v>300</v>
      </c>
      <c r="D58" s="30">
        <v>9</v>
      </c>
      <c r="E58" s="30">
        <v>9</v>
      </c>
      <c r="F58" s="30">
        <v>18</v>
      </c>
      <c r="G58" s="30">
        <v>80.6</v>
      </c>
    </row>
    <row r="59" spans="1:7" x14ac:dyDescent="0.25">
      <c r="A59" s="27" t="s">
        <v>372</v>
      </c>
      <c r="B59" s="28">
        <v>300</v>
      </c>
      <c r="C59" s="28">
        <v>300</v>
      </c>
      <c r="D59" s="28">
        <v>12</v>
      </c>
      <c r="E59" s="28">
        <v>12</v>
      </c>
      <c r="F59" s="28">
        <v>24</v>
      </c>
      <c r="G59" s="28">
        <v>105.61</v>
      </c>
    </row>
    <row r="60" spans="1:7" x14ac:dyDescent="0.25">
      <c r="A60" s="29" t="s">
        <v>373</v>
      </c>
      <c r="B60" s="30">
        <v>200</v>
      </c>
      <c r="C60" s="30">
        <v>200</v>
      </c>
      <c r="D60" s="30">
        <v>6</v>
      </c>
      <c r="E60" s="30">
        <v>6</v>
      </c>
      <c r="F60" s="30">
        <v>15</v>
      </c>
      <c r="G60" s="30">
        <v>35.58</v>
      </c>
    </row>
    <row r="61" spans="1:7" x14ac:dyDescent="0.25">
      <c r="A61" s="27" t="s">
        <v>374</v>
      </c>
      <c r="B61" s="28">
        <v>200</v>
      </c>
      <c r="C61" s="28">
        <v>200</v>
      </c>
      <c r="D61" s="28">
        <v>8</v>
      </c>
      <c r="E61" s="28">
        <v>8</v>
      </c>
      <c r="F61" s="28">
        <v>20</v>
      </c>
      <c r="G61" s="28">
        <v>46.51</v>
      </c>
    </row>
    <row r="62" spans="1:7" x14ac:dyDescent="0.25">
      <c r="A62" s="29" t="s">
        <v>375</v>
      </c>
      <c r="B62" s="30">
        <v>200</v>
      </c>
      <c r="C62" s="30">
        <v>200</v>
      </c>
      <c r="D62" s="30">
        <v>9</v>
      </c>
      <c r="E62" s="30">
        <v>9</v>
      </c>
      <c r="F62" s="30">
        <v>22.5</v>
      </c>
      <c r="G62" s="30">
        <v>51.79</v>
      </c>
    </row>
    <row r="63" spans="1:7" x14ac:dyDescent="0.25">
      <c r="A63" s="27" t="s">
        <v>376</v>
      </c>
      <c r="B63" s="28">
        <v>200</v>
      </c>
      <c r="C63" s="28">
        <v>200</v>
      </c>
      <c r="D63" s="28">
        <v>12</v>
      </c>
      <c r="E63" s="28">
        <v>12</v>
      </c>
      <c r="F63" s="28">
        <v>30</v>
      </c>
      <c r="G63" s="28">
        <v>66.96</v>
      </c>
    </row>
    <row r="64" spans="1:7" x14ac:dyDescent="0.25">
      <c r="A64" s="29" t="s">
        <v>377</v>
      </c>
      <c r="B64" s="30">
        <v>250</v>
      </c>
      <c r="C64" s="30">
        <v>250</v>
      </c>
      <c r="D64" s="30">
        <v>6</v>
      </c>
      <c r="E64" s="30">
        <v>6</v>
      </c>
      <c r="F64" s="30">
        <v>15</v>
      </c>
      <c r="G64" s="30">
        <v>45</v>
      </c>
    </row>
    <row r="65" spans="1:7" x14ac:dyDescent="0.25">
      <c r="A65" s="27" t="s">
        <v>378</v>
      </c>
      <c r="B65" s="28">
        <v>250</v>
      </c>
      <c r="C65" s="28">
        <v>250</v>
      </c>
      <c r="D65" s="28">
        <v>8</v>
      </c>
      <c r="E65" s="28">
        <v>8</v>
      </c>
      <c r="F65" s="28">
        <v>20</v>
      </c>
      <c r="G65" s="28">
        <v>59.07</v>
      </c>
    </row>
    <row r="66" spans="1:7" x14ac:dyDescent="0.25">
      <c r="A66" s="29" t="s">
        <v>379</v>
      </c>
      <c r="B66" s="30">
        <v>250</v>
      </c>
      <c r="C66" s="30">
        <v>250</v>
      </c>
      <c r="D66" s="30">
        <v>9</v>
      </c>
      <c r="E66" s="30">
        <v>9</v>
      </c>
      <c r="F66" s="30">
        <v>22.5</v>
      </c>
      <c r="G66" s="30">
        <v>65.92</v>
      </c>
    </row>
    <row r="67" spans="1:7" x14ac:dyDescent="0.25">
      <c r="A67" s="27" t="s">
        <v>380</v>
      </c>
      <c r="B67" s="28">
        <v>250</v>
      </c>
      <c r="C67" s="28">
        <v>250</v>
      </c>
      <c r="D67" s="28">
        <v>12</v>
      </c>
      <c r="E67" s="28">
        <v>12</v>
      </c>
      <c r="F67" s="28">
        <v>30</v>
      </c>
      <c r="G67" s="28">
        <v>85.8</v>
      </c>
    </row>
    <row r="68" spans="1:7" x14ac:dyDescent="0.25">
      <c r="A68" s="29" t="s">
        <v>381</v>
      </c>
      <c r="B68" s="30">
        <v>250</v>
      </c>
      <c r="C68" s="30">
        <v>250</v>
      </c>
      <c r="D68" s="30">
        <v>14</v>
      </c>
      <c r="E68" s="30">
        <v>14</v>
      </c>
      <c r="F68" s="30">
        <v>35</v>
      </c>
      <c r="G68" s="30">
        <v>98.46</v>
      </c>
    </row>
    <row r="69" spans="1:7" x14ac:dyDescent="0.25">
      <c r="A69" s="27" t="s">
        <v>382</v>
      </c>
      <c r="B69" s="28">
        <v>250</v>
      </c>
      <c r="C69" s="28">
        <v>250</v>
      </c>
      <c r="D69" s="28">
        <v>16</v>
      </c>
      <c r="E69" s="28">
        <v>16</v>
      </c>
      <c r="F69" s="28">
        <v>40</v>
      </c>
      <c r="G69" s="28">
        <v>110.66</v>
      </c>
    </row>
    <row r="70" spans="1:7" x14ac:dyDescent="0.25">
      <c r="A70" s="29" t="s">
        <v>383</v>
      </c>
      <c r="B70" s="30">
        <v>300</v>
      </c>
      <c r="C70" s="30">
        <v>300</v>
      </c>
      <c r="D70" s="30">
        <v>6</v>
      </c>
      <c r="E70" s="30">
        <v>6</v>
      </c>
      <c r="F70" s="30">
        <v>15</v>
      </c>
      <c r="G70" s="30">
        <v>54.42</v>
      </c>
    </row>
    <row r="71" spans="1:7" x14ac:dyDescent="0.25">
      <c r="A71" s="27" t="s">
        <v>384</v>
      </c>
      <c r="B71" s="28">
        <v>300</v>
      </c>
      <c r="C71" s="28">
        <v>300</v>
      </c>
      <c r="D71" s="28">
        <v>8</v>
      </c>
      <c r="E71" s="28">
        <v>8</v>
      </c>
      <c r="F71" s="28">
        <v>20</v>
      </c>
      <c r="G71" s="28">
        <v>71.63</v>
      </c>
    </row>
    <row r="72" spans="1:7" x14ac:dyDescent="0.25">
      <c r="A72" s="29" t="s">
        <v>385</v>
      </c>
      <c r="B72" s="30">
        <v>300</v>
      </c>
      <c r="C72" s="30">
        <v>300</v>
      </c>
      <c r="D72" s="30">
        <v>9</v>
      </c>
      <c r="E72" s="30">
        <v>9</v>
      </c>
      <c r="F72" s="30">
        <v>22.5</v>
      </c>
      <c r="G72" s="30">
        <v>80.05</v>
      </c>
    </row>
    <row r="73" spans="1:7" x14ac:dyDescent="0.25">
      <c r="A73" s="27" t="s">
        <v>386</v>
      </c>
      <c r="B73" s="28">
        <v>300</v>
      </c>
      <c r="C73" s="28">
        <v>300</v>
      </c>
      <c r="D73" s="28">
        <v>12</v>
      </c>
      <c r="E73" s="28">
        <v>12</v>
      </c>
      <c r="F73" s="28">
        <v>30</v>
      </c>
      <c r="G73" s="28">
        <v>104.64</v>
      </c>
    </row>
    <row r="74" spans="1:7" x14ac:dyDescent="0.25">
      <c r="A74" s="29" t="s">
        <v>387</v>
      </c>
      <c r="B74" s="30">
        <v>300</v>
      </c>
      <c r="C74" s="30">
        <v>300</v>
      </c>
      <c r="D74" s="30">
        <v>14</v>
      </c>
      <c r="E74" s="30">
        <v>14</v>
      </c>
      <c r="F74" s="30">
        <v>35</v>
      </c>
      <c r="G74" s="30">
        <v>120.44</v>
      </c>
    </row>
    <row r="75" spans="1:7" x14ac:dyDescent="0.25">
      <c r="A75" s="27" t="s">
        <v>388</v>
      </c>
      <c r="B75" s="28">
        <v>300</v>
      </c>
      <c r="C75" s="28">
        <v>300</v>
      </c>
      <c r="D75" s="28">
        <v>16</v>
      </c>
      <c r="E75" s="28">
        <v>16</v>
      </c>
      <c r="F75" s="28">
        <v>40</v>
      </c>
      <c r="G75" s="28">
        <v>135.78</v>
      </c>
    </row>
    <row r="76" spans="1:7" x14ac:dyDescent="0.25">
      <c r="A76" s="29" t="s">
        <v>389</v>
      </c>
      <c r="B76" s="30">
        <v>300</v>
      </c>
      <c r="C76" s="30">
        <v>300</v>
      </c>
      <c r="D76" s="30">
        <v>19</v>
      </c>
      <c r="E76" s="30">
        <v>19</v>
      </c>
      <c r="F76" s="30">
        <v>47.5</v>
      </c>
      <c r="G76" s="30">
        <v>157.91</v>
      </c>
    </row>
    <row r="77" spans="1:7" x14ac:dyDescent="0.25">
      <c r="A77" s="27" t="s">
        <v>390</v>
      </c>
      <c r="B77" s="28">
        <v>350</v>
      </c>
      <c r="C77" s="28">
        <v>350</v>
      </c>
      <c r="D77" s="28">
        <v>9</v>
      </c>
      <c r="E77" s="28">
        <v>9</v>
      </c>
      <c r="F77" s="28">
        <v>22.5</v>
      </c>
      <c r="G77" s="28">
        <v>94.18</v>
      </c>
    </row>
    <row r="78" spans="1:7" x14ac:dyDescent="0.25">
      <c r="A78" s="29" t="s">
        <v>391</v>
      </c>
      <c r="B78" s="30">
        <v>350</v>
      </c>
      <c r="C78" s="30">
        <v>350</v>
      </c>
      <c r="D78" s="30">
        <v>12</v>
      </c>
      <c r="E78" s="30">
        <v>12</v>
      </c>
      <c r="F78" s="30">
        <v>30</v>
      </c>
      <c r="G78" s="30">
        <v>123.48</v>
      </c>
    </row>
    <row r="79" spans="1:7" x14ac:dyDescent="0.25">
      <c r="A79" s="27" t="s">
        <v>392</v>
      </c>
      <c r="B79" s="28">
        <v>350</v>
      </c>
      <c r="C79" s="28">
        <v>350</v>
      </c>
      <c r="D79" s="28">
        <v>14</v>
      </c>
      <c r="E79" s="28">
        <v>14</v>
      </c>
      <c r="F79" s="28">
        <v>35</v>
      </c>
      <c r="G79" s="28">
        <v>142.42</v>
      </c>
    </row>
    <row r="80" spans="1:7" x14ac:dyDescent="0.25">
      <c r="A80" s="29" t="s">
        <v>393</v>
      </c>
      <c r="B80" s="30">
        <v>350</v>
      </c>
      <c r="C80" s="30">
        <v>350</v>
      </c>
      <c r="D80" s="30">
        <v>16</v>
      </c>
      <c r="E80" s="30">
        <v>16</v>
      </c>
      <c r="F80" s="30">
        <v>40</v>
      </c>
      <c r="G80" s="30">
        <v>160.9</v>
      </c>
    </row>
    <row r="81" spans="1:7" x14ac:dyDescent="0.25">
      <c r="A81" s="27" t="s">
        <v>394</v>
      </c>
      <c r="B81" s="28">
        <v>350</v>
      </c>
      <c r="C81" s="28">
        <v>350</v>
      </c>
      <c r="D81" s="28">
        <v>19</v>
      </c>
      <c r="E81" s="28">
        <v>19</v>
      </c>
      <c r="F81" s="28">
        <v>47.5</v>
      </c>
      <c r="G81" s="28">
        <v>187.74</v>
      </c>
    </row>
    <row r="82" spans="1:7" x14ac:dyDescent="0.25">
      <c r="A82" s="29" t="s">
        <v>395</v>
      </c>
      <c r="B82" s="30">
        <v>350</v>
      </c>
      <c r="C82" s="30">
        <v>350</v>
      </c>
      <c r="D82" s="30">
        <v>22</v>
      </c>
      <c r="E82" s="30">
        <v>22</v>
      </c>
      <c r="F82" s="30">
        <v>55</v>
      </c>
      <c r="G82" s="30">
        <v>213.54</v>
      </c>
    </row>
    <row r="83" spans="1:7" x14ac:dyDescent="0.25">
      <c r="A83" s="27" t="s">
        <v>396</v>
      </c>
      <c r="B83" s="28">
        <v>400</v>
      </c>
      <c r="C83" s="28">
        <v>400</v>
      </c>
      <c r="D83" s="28">
        <v>9</v>
      </c>
      <c r="E83" s="28">
        <v>9</v>
      </c>
      <c r="F83" s="28">
        <v>22.5</v>
      </c>
      <c r="G83" s="28">
        <v>108.31</v>
      </c>
    </row>
    <row r="84" spans="1:7" x14ac:dyDescent="0.25">
      <c r="A84" s="29" t="s">
        <v>397</v>
      </c>
      <c r="B84" s="30">
        <v>400</v>
      </c>
      <c r="C84" s="30">
        <v>400</v>
      </c>
      <c r="D84" s="30">
        <v>12</v>
      </c>
      <c r="E84" s="30">
        <v>12</v>
      </c>
      <c r="F84" s="30">
        <v>30</v>
      </c>
      <c r="G84" s="30">
        <v>142.32</v>
      </c>
    </row>
    <row r="85" spans="1:7" x14ac:dyDescent="0.25">
      <c r="A85" s="27" t="s">
        <v>398</v>
      </c>
      <c r="B85" s="28">
        <v>400</v>
      </c>
      <c r="C85" s="28">
        <v>400</v>
      </c>
      <c r="D85" s="28">
        <v>14</v>
      </c>
      <c r="E85" s="28">
        <v>14</v>
      </c>
      <c r="F85" s="28">
        <v>35</v>
      </c>
      <c r="G85" s="28">
        <v>164.4</v>
      </c>
    </row>
    <row r="86" spans="1:7" x14ac:dyDescent="0.25">
      <c r="A86" s="29" t="s">
        <v>399</v>
      </c>
      <c r="B86" s="30">
        <v>400</v>
      </c>
      <c r="C86" s="30">
        <v>400</v>
      </c>
      <c r="D86" s="30">
        <v>16</v>
      </c>
      <c r="E86" s="30">
        <v>16</v>
      </c>
      <c r="F86" s="30">
        <v>40</v>
      </c>
      <c r="G86" s="30">
        <v>186.02</v>
      </c>
    </row>
    <row r="87" spans="1:7" x14ac:dyDescent="0.25">
      <c r="A87" s="27" t="s">
        <v>400</v>
      </c>
      <c r="B87" s="28">
        <v>400</v>
      </c>
      <c r="C87" s="28">
        <v>400</v>
      </c>
      <c r="D87" s="28">
        <v>19</v>
      </c>
      <c r="E87" s="28">
        <v>19</v>
      </c>
      <c r="F87" s="28">
        <v>47.5</v>
      </c>
      <c r="G87" s="28">
        <v>217.57</v>
      </c>
    </row>
    <row r="88" spans="1:7" x14ac:dyDescent="0.25">
      <c r="A88" s="29" t="s">
        <v>401</v>
      </c>
      <c r="B88" s="30">
        <v>400</v>
      </c>
      <c r="C88" s="30">
        <v>400</v>
      </c>
      <c r="D88" s="30">
        <v>22</v>
      </c>
      <c r="E88" s="30">
        <v>22</v>
      </c>
      <c r="F88" s="30">
        <v>55</v>
      </c>
      <c r="G88" s="30">
        <v>248.08</v>
      </c>
    </row>
    <row r="89" spans="1:7" x14ac:dyDescent="0.25">
      <c r="A89" s="27" t="s">
        <v>402</v>
      </c>
      <c r="B89" s="28">
        <v>450</v>
      </c>
      <c r="C89" s="28">
        <v>450</v>
      </c>
      <c r="D89" s="28">
        <v>9</v>
      </c>
      <c r="E89" s="28">
        <v>9</v>
      </c>
      <c r="F89" s="28">
        <v>22.5</v>
      </c>
      <c r="G89" s="28">
        <v>122.44</v>
      </c>
    </row>
    <row r="90" spans="1:7" x14ac:dyDescent="0.25">
      <c r="A90" s="29" t="s">
        <v>403</v>
      </c>
      <c r="B90" s="30">
        <v>450</v>
      </c>
      <c r="C90" s="30">
        <v>450</v>
      </c>
      <c r="D90" s="30">
        <v>12</v>
      </c>
      <c r="E90" s="30">
        <v>12</v>
      </c>
      <c r="F90" s="30">
        <v>30</v>
      </c>
      <c r="G90" s="30">
        <v>161.16</v>
      </c>
    </row>
    <row r="91" spans="1:7" x14ac:dyDescent="0.25">
      <c r="A91" s="27" t="s">
        <v>404</v>
      </c>
      <c r="B91" s="28">
        <v>450</v>
      </c>
      <c r="C91" s="28">
        <v>450</v>
      </c>
      <c r="D91" s="28">
        <v>14</v>
      </c>
      <c r="E91" s="28">
        <v>14</v>
      </c>
      <c r="F91" s="28">
        <v>35</v>
      </c>
      <c r="G91" s="28">
        <v>186.38</v>
      </c>
    </row>
    <row r="92" spans="1:7" x14ac:dyDescent="0.25">
      <c r="A92" s="29" t="s">
        <v>405</v>
      </c>
      <c r="B92" s="30">
        <v>450</v>
      </c>
      <c r="C92" s="30">
        <v>450</v>
      </c>
      <c r="D92" s="30">
        <v>16</v>
      </c>
      <c r="E92" s="30">
        <v>16</v>
      </c>
      <c r="F92" s="30">
        <v>40</v>
      </c>
      <c r="G92" s="30">
        <v>211.14</v>
      </c>
    </row>
    <row r="93" spans="1:7" x14ac:dyDescent="0.25">
      <c r="A93" s="27" t="s">
        <v>406</v>
      </c>
      <c r="B93" s="28">
        <v>450</v>
      </c>
      <c r="C93" s="28">
        <v>450</v>
      </c>
      <c r="D93" s="28">
        <v>19</v>
      </c>
      <c r="E93" s="28">
        <v>19</v>
      </c>
      <c r="F93" s="28">
        <v>47.5</v>
      </c>
      <c r="G93" s="28">
        <v>247.4</v>
      </c>
    </row>
    <row r="94" spans="1:7" x14ac:dyDescent="0.25">
      <c r="A94" s="29" t="s">
        <v>407</v>
      </c>
      <c r="B94" s="30">
        <v>450</v>
      </c>
      <c r="C94" s="30">
        <v>450</v>
      </c>
      <c r="D94" s="30">
        <v>22</v>
      </c>
      <c r="E94" s="30">
        <v>22</v>
      </c>
      <c r="F94" s="30">
        <v>55</v>
      </c>
      <c r="G94" s="30">
        <v>282.62</v>
      </c>
    </row>
    <row r="95" spans="1:7" x14ac:dyDescent="0.25">
      <c r="A95" s="27" t="s">
        <v>408</v>
      </c>
      <c r="B95" s="28">
        <v>500</v>
      </c>
      <c r="C95" s="28">
        <v>500</v>
      </c>
      <c r="D95" s="28">
        <v>9</v>
      </c>
      <c r="E95" s="28">
        <v>9</v>
      </c>
      <c r="F95" s="28">
        <v>22.5</v>
      </c>
      <c r="G95" s="28">
        <v>136.57</v>
      </c>
    </row>
    <row r="96" spans="1:7" x14ac:dyDescent="0.25">
      <c r="A96" s="29" t="s">
        <v>409</v>
      </c>
      <c r="B96" s="30">
        <v>500</v>
      </c>
      <c r="C96" s="30">
        <v>500</v>
      </c>
      <c r="D96" s="30">
        <v>12</v>
      </c>
      <c r="E96" s="30">
        <v>12</v>
      </c>
      <c r="F96" s="30">
        <v>30</v>
      </c>
      <c r="G96" s="30">
        <v>180</v>
      </c>
    </row>
    <row r="97" spans="1:7" x14ac:dyDescent="0.25">
      <c r="A97" s="27" t="s">
        <v>410</v>
      </c>
      <c r="B97" s="28">
        <v>500</v>
      </c>
      <c r="C97" s="28">
        <v>500</v>
      </c>
      <c r="D97" s="28">
        <v>14</v>
      </c>
      <c r="E97" s="28">
        <v>14</v>
      </c>
      <c r="F97" s="28">
        <v>35</v>
      </c>
      <c r="G97" s="28">
        <v>208.36</v>
      </c>
    </row>
    <row r="98" spans="1:7" x14ac:dyDescent="0.25">
      <c r="A98" s="29" t="s">
        <v>411</v>
      </c>
      <c r="B98" s="30">
        <v>500</v>
      </c>
      <c r="C98" s="30">
        <v>500</v>
      </c>
      <c r="D98" s="30">
        <v>16</v>
      </c>
      <c r="E98" s="30">
        <v>16</v>
      </c>
      <c r="F98" s="30">
        <v>40</v>
      </c>
      <c r="G98" s="30">
        <v>236.26</v>
      </c>
    </row>
    <row r="99" spans="1:7" x14ac:dyDescent="0.25">
      <c r="A99" s="27" t="s">
        <v>412</v>
      </c>
      <c r="B99" s="28">
        <v>500</v>
      </c>
      <c r="C99" s="28">
        <v>500</v>
      </c>
      <c r="D99" s="28">
        <v>19</v>
      </c>
      <c r="E99" s="28">
        <v>19</v>
      </c>
      <c r="F99" s="28">
        <v>47.5</v>
      </c>
      <c r="G99" s="28">
        <v>277.23</v>
      </c>
    </row>
    <row r="100" spans="1:7" x14ac:dyDescent="0.25">
      <c r="A100" s="29" t="s">
        <v>413</v>
      </c>
      <c r="B100" s="30">
        <v>500</v>
      </c>
      <c r="C100" s="30">
        <v>500</v>
      </c>
      <c r="D100" s="30">
        <v>22</v>
      </c>
      <c r="E100" s="30">
        <v>22</v>
      </c>
      <c r="F100" s="30">
        <v>55</v>
      </c>
      <c r="G100" s="30">
        <v>317.16</v>
      </c>
    </row>
    <row r="101" spans="1:7" x14ac:dyDescent="0.25">
      <c r="A101" s="27" t="s">
        <v>414</v>
      </c>
      <c r="B101" s="28">
        <v>550</v>
      </c>
      <c r="C101" s="28">
        <v>550</v>
      </c>
      <c r="D101" s="28">
        <v>12</v>
      </c>
      <c r="E101" s="28">
        <v>12</v>
      </c>
      <c r="F101" s="28">
        <v>30</v>
      </c>
      <c r="G101" s="28">
        <v>198.84</v>
      </c>
    </row>
    <row r="102" spans="1:7" x14ac:dyDescent="0.25">
      <c r="A102" s="29" t="s">
        <v>415</v>
      </c>
      <c r="B102" s="30">
        <v>550</v>
      </c>
      <c r="C102" s="30">
        <v>550</v>
      </c>
      <c r="D102" s="30">
        <v>14</v>
      </c>
      <c r="E102" s="30">
        <v>14</v>
      </c>
      <c r="F102" s="30">
        <v>35</v>
      </c>
      <c r="G102" s="30">
        <v>230.34</v>
      </c>
    </row>
    <row r="103" spans="1:7" x14ac:dyDescent="0.25">
      <c r="A103" s="27" t="s">
        <v>416</v>
      </c>
      <c r="B103" s="28">
        <v>550</v>
      </c>
      <c r="C103" s="28">
        <v>550</v>
      </c>
      <c r="D103" s="28">
        <v>16</v>
      </c>
      <c r="E103" s="28">
        <v>16</v>
      </c>
      <c r="F103" s="28">
        <v>40</v>
      </c>
      <c r="G103" s="28">
        <v>261.38</v>
      </c>
    </row>
    <row r="104" spans="1:7" x14ac:dyDescent="0.25">
      <c r="A104" s="29" t="s">
        <v>417</v>
      </c>
      <c r="B104" s="30">
        <v>550</v>
      </c>
      <c r="C104" s="30">
        <v>550</v>
      </c>
      <c r="D104" s="30">
        <v>19</v>
      </c>
      <c r="E104" s="30">
        <v>19</v>
      </c>
      <c r="F104" s="30">
        <v>47.5</v>
      </c>
      <c r="G104" s="30">
        <v>307.06</v>
      </c>
    </row>
    <row r="105" spans="1:7" x14ac:dyDescent="0.25">
      <c r="A105" s="27" t="s">
        <v>418</v>
      </c>
      <c r="B105" s="28">
        <v>550</v>
      </c>
      <c r="C105" s="28">
        <v>550</v>
      </c>
      <c r="D105" s="28">
        <v>22</v>
      </c>
      <c r="E105" s="28">
        <v>22</v>
      </c>
      <c r="F105" s="28">
        <v>55</v>
      </c>
      <c r="G105" s="28">
        <v>351.7</v>
      </c>
    </row>
    <row r="106" spans="1:7" x14ac:dyDescent="0.25">
      <c r="A106" s="29" t="s">
        <v>419</v>
      </c>
      <c r="B106" s="30">
        <v>600</v>
      </c>
      <c r="C106" s="30">
        <v>600</v>
      </c>
      <c r="D106" s="30">
        <v>9</v>
      </c>
      <c r="E106" s="30">
        <v>9</v>
      </c>
      <c r="F106" s="30">
        <v>31.5</v>
      </c>
      <c r="G106" s="30">
        <v>163.74</v>
      </c>
    </row>
    <row r="107" spans="1:7" x14ac:dyDescent="0.25">
      <c r="A107" s="27" t="s">
        <v>420</v>
      </c>
      <c r="B107" s="28">
        <v>600</v>
      </c>
      <c r="C107" s="28">
        <v>600</v>
      </c>
      <c r="D107" s="28">
        <v>12</v>
      </c>
      <c r="E107" s="28">
        <v>12</v>
      </c>
      <c r="F107" s="28">
        <v>42</v>
      </c>
      <c r="G107" s="28">
        <v>215.74</v>
      </c>
    </row>
    <row r="108" spans="1:7" x14ac:dyDescent="0.25">
      <c r="A108" s="29" t="s">
        <v>421</v>
      </c>
      <c r="B108" s="30">
        <v>600</v>
      </c>
      <c r="C108" s="30">
        <v>600</v>
      </c>
      <c r="D108" s="30">
        <v>16</v>
      </c>
      <c r="E108" s="30">
        <v>16</v>
      </c>
      <c r="F108" s="30">
        <v>56</v>
      </c>
      <c r="G108" s="30">
        <v>283.05</v>
      </c>
    </row>
    <row r="109" spans="1:7" x14ac:dyDescent="0.25">
      <c r="A109" s="27" t="s">
        <v>422</v>
      </c>
      <c r="B109" s="28">
        <v>600</v>
      </c>
      <c r="C109" s="28">
        <v>600</v>
      </c>
      <c r="D109" s="28">
        <v>19</v>
      </c>
      <c r="E109" s="28">
        <v>19</v>
      </c>
      <c r="F109" s="28">
        <v>66.5</v>
      </c>
      <c r="G109" s="28">
        <v>332.03</v>
      </c>
    </row>
    <row r="110" spans="1:7" x14ac:dyDescent="0.25">
      <c r="A110" s="29" t="s">
        <v>423</v>
      </c>
      <c r="B110" s="30">
        <v>600</v>
      </c>
      <c r="C110" s="30">
        <v>600</v>
      </c>
      <c r="D110" s="30">
        <v>22</v>
      </c>
      <c r="E110" s="30">
        <v>22</v>
      </c>
      <c r="F110" s="30">
        <v>77</v>
      </c>
      <c r="G110" s="30">
        <v>379.71</v>
      </c>
    </row>
    <row r="111" spans="1:7" x14ac:dyDescent="0.25">
      <c r="A111" s="27" t="s">
        <v>424</v>
      </c>
      <c r="B111" s="28">
        <v>600</v>
      </c>
      <c r="C111" s="28">
        <v>600</v>
      </c>
      <c r="D111" s="28">
        <v>25</v>
      </c>
      <c r="E111" s="28">
        <v>25</v>
      </c>
      <c r="F111" s="28">
        <v>87.5</v>
      </c>
      <c r="G111" s="28">
        <v>426.11</v>
      </c>
    </row>
    <row r="112" spans="1:7" x14ac:dyDescent="0.25">
      <c r="A112" s="29" t="s">
        <v>425</v>
      </c>
      <c r="B112" s="30">
        <v>600</v>
      </c>
      <c r="C112" s="30">
        <v>600</v>
      </c>
      <c r="D112" s="30">
        <v>28</v>
      </c>
      <c r="E112" s="30">
        <v>28</v>
      </c>
      <c r="F112" s="30">
        <v>98</v>
      </c>
      <c r="G112" s="30">
        <v>471.2</v>
      </c>
    </row>
    <row r="113" spans="1:7" x14ac:dyDescent="0.25">
      <c r="A113" s="27" t="s">
        <v>426</v>
      </c>
      <c r="B113" s="28">
        <v>600</v>
      </c>
      <c r="C113" s="28">
        <v>600</v>
      </c>
      <c r="D113" s="28">
        <v>32</v>
      </c>
      <c r="E113" s="28">
        <v>32</v>
      </c>
      <c r="F113" s="28">
        <v>112</v>
      </c>
      <c r="G113" s="28">
        <v>529.33</v>
      </c>
    </row>
    <row r="114" spans="1:7" x14ac:dyDescent="0.25">
      <c r="A114" s="29" t="s">
        <v>427</v>
      </c>
      <c r="B114" s="30">
        <v>600</v>
      </c>
      <c r="C114" s="30">
        <v>600</v>
      </c>
      <c r="D114" s="30">
        <v>36</v>
      </c>
      <c r="E114" s="30">
        <v>36</v>
      </c>
      <c r="F114" s="30">
        <v>126</v>
      </c>
      <c r="G114" s="30">
        <v>585.15</v>
      </c>
    </row>
    <row r="115" spans="1:7" x14ac:dyDescent="0.25">
      <c r="A115" s="27" t="s">
        <v>428</v>
      </c>
      <c r="B115" s="28">
        <v>600</v>
      </c>
      <c r="C115" s="28">
        <v>600</v>
      </c>
      <c r="D115" s="28">
        <v>38</v>
      </c>
      <c r="E115" s="28">
        <v>38</v>
      </c>
      <c r="F115" s="28">
        <v>133</v>
      </c>
      <c r="G115" s="28">
        <v>612.2</v>
      </c>
    </row>
    <row r="116" spans="1:7" x14ac:dyDescent="0.25">
      <c r="A116" s="29" t="s">
        <v>429</v>
      </c>
      <c r="B116" s="30">
        <v>600</v>
      </c>
      <c r="C116" s="30">
        <v>600</v>
      </c>
      <c r="D116" s="30">
        <v>40</v>
      </c>
      <c r="E116" s="30">
        <v>40</v>
      </c>
      <c r="F116" s="30">
        <v>140</v>
      </c>
      <c r="G116" s="30">
        <v>638.67</v>
      </c>
    </row>
    <row r="117" spans="1:7" x14ac:dyDescent="0.25">
      <c r="A117" s="27" t="s">
        <v>430</v>
      </c>
      <c r="B117" s="28">
        <v>650</v>
      </c>
      <c r="C117" s="28">
        <v>650</v>
      </c>
      <c r="D117" s="28">
        <v>12</v>
      </c>
      <c r="E117" s="28">
        <v>12</v>
      </c>
      <c r="F117" s="28">
        <v>42</v>
      </c>
      <c r="G117" s="28">
        <v>234.58</v>
      </c>
    </row>
    <row r="118" spans="1:7" x14ac:dyDescent="0.25">
      <c r="A118" s="29" t="s">
        <v>431</v>
      </c>
      <c r="B118" s="30">
        <v>650</v>
      </c>
      <c r="C118" s="30">
        <v>650</v>
      </c>
      <c r="D118" s="30">
        <v>16</v>
      </c>
      <c r="E118" s="30">
        <v>16</v>
      </c>
      <c r="F118" s="30">
        <v>56</v>
      </c>
      <c r="G118" s="30">
        <v>308.17</v>
      </c>
    </row>
    <row r="119" spans="1:7" x14ac:dyDescent="0.25">
      <c r="A119" s="27" t="s">
        <v>432</v>
      </c>
      <c r="B119" s="28">
        <v>650</v>
      </c>
      <c r="C119" s="28">
        <v>650</v>
      </c>
      <c r="D119" s="28">
        <v>19</v>
      </c>
      <c r="E119" s="28">
        <v>19</v>
      </c>
      <c r="F119" s="28">
        <v>66.5</v>
      </c>
      <c r="G119" s="28">
        <v>361.86</v>
      </c>
    </row>
    <row r="120" spans="1:7" x14ac:dyDescent="0.25">
      <c r="A120" s="29" t="s">
        <v>433</v>
      </c>
      <c r="B120" s="30">
        <v>650</v>
      </c>
      <c r="C120" s="30">
        <v>650</v>
      </c>
      <c r="D120" s="30">
        <v>22</v>
      </c>
      <c r="E120" s="30">
        <v>22</v>
      </c>
      <c r="F120" s="30">
        <v>77</v>
      </c>
      <c r="G120" s="30">
        <v>414.25</v>
      </c>
    </row>
    <row r="121" spans="1:7" x14ac:dyDescent="0.25">
      <c r="A121" s="27" t="s">
        <v>434</v>
      </c>
      <c r="B121" s="28">
        <v>650</v>
      </c>
      <c r="C121" s="28">
        <v>650</v>
      </c>
      <c r="D121" s="28">
        <v>25</v>
      </c>
      <c r="E121" s="28">
        <v>25</v>
      </c>
      <c r="F121" s="28">
        <v>87.5</v>
      </c>
      <c r="G121" s="28">
        <v>465.36</v>
      </c>
    </row>
    <row r="122" spans="1:7" x14ac:dyDescent="0.25">
      <c r="A122" s="29" t="s">
        <v>435</v>
      </c>
      <c r="B122" s="30">
        <v>650</v>
      </c>
      <c r="C122" s="30">
        <v>650</v>
      </c>
      <c r="D122" s="30">
        <v>28</v>
      </c>
      <c r="E122" s="30">
        <v>28</v>
      </c>
      <c r="F122" s="30">
        <v>98</v>
      </c>
      <c r="G122" s="30">
        <v>515.16</v>
      </c>
    </row>
    <row r="123" spans="1:7" x14ac:dyDescent="0.25">
      <c r="A123" s="27" t="s">
        <v>436</v>
      </c>
      <c r="B123" s="28">
        <v>650</v>
      </c>
      <c r="C123" s="28">
        <v>650</v>
      </c>
      <c r="D123" s="28">
        <v>32</v>
      </c>
      <c r="E123" s="28">
        <v>32</v>
      </c>
      <c r="F123" s="28">
        <v>112</v>
      </c>
      <c r="G123" s="28">
        <v>579.57</v>
      </c>
    </row>
    <row r="124" spans="1:7" x14ac:dyDescent="0.25">
      <c r="A124" s="29" t="s">
        <v>437</v>
      </c>
      <c r="B124" s="30">
        <v>650</v>
      </c>
      <c r="C124" s="30">
        <v>650</v>
      </c>
      <c r="D124" s="30">
        <v>36</v>
      </c>
      <c r="E124" s="30">
        <v>36</v>
      </c>
      <c r="F124" s="30">
        <v>126</v>
      </c>
      <c r="G124" s="30">
        <v>641.67</v>
      </c>
    </row>
    <row r="125" spans="1:7" x14ac:dyDescent="0.25">
      <c r="A125" s="27" t="s">
        <v>438</v>
      </c>
      <c r="B125" s="28">
        <v>650</v>
      </c>
      <c r="C125" s="28">
        <v>650</v>
      </c>
      <c r="D125" s="28">
        <v>38</v>
      </c>
      <c r="E125" s="28">
        <v>38</v>
      </c>
      <c r="F125" s="28">
        <v>133</v>
      </c>
      <c r="G125" s="28">
        <v>671.86</v>
      </c>
    </row>
    <row r="126" spans="1:7" x14ac:dyDescent="0.25">
      <c r="A126" s="29" t="s">
        <v>439</v>
      </c>
      <c r="B126" s="30">
        <v>650</v>
      </c>
      <c r="C126" s="30">
        <v>650</v>
      </c>
      <c r="D126" s="30">
        <v>40</v>
      </c>
      <c r="E126" s="30">
        <v>40</v>
      </c>
      <c r="F126" s="30">
        <v>140</v>
      </c>
      <c r="G126" s="30">
        <v>701.47</v>
      </c>
    </row>
    <row r="127" spans="1:7" x14ac:dyDescent="0.25">
      <c r="A127" s="27" t="s">
        <v>440</v>
      </c>
      <c r="B127" s="28">
        <v>700</v>
      </c>
      <c r="C127" s="28">
        <v>700</v>
      </c>
      <c r="D127" s="28">
        <v>12</v>
      </c>
      <c r="E127" s="28">
        <v>12</v>
      </c>
      <c r="F127" s="28">
        <v>42</v>
      </c>
      <c r="G127" s="28">
        <v>253.42</v>
      </c>
    </row>
    <row r="128" spans="1:7" x14ac:dyDescent="0.25">
      <c r="A128" s="29" t="s">
        <v>441</v>
      </c>
      <c r="B128" s="30">
        <v>700</v>
      </c>
      <c r="C128" s="30">
        <v>700</v>
      </c>
      <c r="D128" s="30">
        <v>16</v>
      </c>
      <c r="E128" s="30">
        <v>16</v>
      </c>
      <c r="F128" s="30">
        <v>56</v>
      </c>
      <c r="G128" s="30">
        <v>333.29</v>
      </c>
    </row>
    <row r="129" spans="1:7" x14ac:dyDescent="0.25">
      <c r="A129" s="27" t="s">
        <v>442</v>
      </c>
      <c r="B129" s="28">
        <v>700</v>
      </c>
      <c r="C129" s="28">
        <v>700</v>
      </c>
      <c r="D129" s="28">
        <v>19</v>
      </c>
      <c r="E129" s="28">
        <v>19</v>
      </c>
      <c r="F129" s="28">
        <v>66.5</v>
      </c>
      <c r="G129" s="28">
        <v>391.69</v>
      </c>
    </row>
    <row r="130" spans="1:7" x14ac:dyDescent="0.25">
      <c r="A130" s="29" t="s">
        <v>443</v>
      </c>
      <c r="B130" s="30">
        <v>700</v>
      </c>
      <c r="C130" s="30">
        <v>700</v>
      </c>
      <c r="D130" s="30">
        <v>22</v>
      </c>
      <c r="E130" s="30">
        <v>22</v>
      </c>
      <c r="F130" s="30">
        <v>77</v>
      </c>
      <c r="G130" s="30">
        <v>448.79</v>
      </c>
    </row>
    <row r="131" spans="1:7" x14ac:dyDescent="0.25">
      <c r="A131" s="27" t="s">
        <v>444</v>
      </c>
      <c r="B131" s="28">
        <v>700</v>
      </c>
      <c r="C131" s="28">
        <v>700</v>
      </c>
      <c r="D131" s="28">
        <v>25</v>
      </c>
      <c r="E131" s="28">
        <v>25</v>
      </c>
      <c r="F131" s="28">
        <v>87.5</v>
      </c>
      <c r="G131" s="28">
        <v>504.61</v>
      </c>
    </row>
    <row r="132" spans="1:7" x14ac:dyDescent="0.25">
      <c r="A132" s="29" t="s">
        <v>445</v>
      </c>
      <c r="B132" s="30">
        <v>700</v>
      </c>
      <c r="C132" s="30">
        <v>700</v>
      </c>
      <c r="D132" s="30">
        <v>28</v>
      </c>
      <c r="E132" s="30">
        <v>28</v>
      </c>
      <c r="F132" s="30">
        <v>98</v>
      </c>
      <c r="G132" s="30">
        <v>559.12</v>
      </c>
    </row>
    <row r="133" spans="1:7" x14ac:dyDescent="0.25">
      <c r="A133" s="27" t="s">
        <v>446</v>
      </c>
      <c r="B133" s="28">
        <v>700</v>
      </c>
      <c r="C133" s="28">
        <v>700</v>
      </c>
      <c r="D133" s="28">
        <v>32</v>
      </c>
      <c r="E133" s="28">
        <v>32</v>
      </c>
      <c r="F133" s="28">
        <v>112</v>
      </c>
      <c r="G133" s="28">
        <v>629.81</v>
      </c>
    </row>
    <row r="134" spans="1:7" x14ac:dyDescent="0.25">
      <c r="A134" s="29" t="s">
        <v>447</v>
      </c>
      <c r="B134" s="30">
        <v>700</v>
      </c>
      <c r="C134" s="30">
        <v>700</v>
      </c>
      <c r="D134" s="30">
        <v>36</v>
      </c>
      <c r="E134" s="30">
        <v>36</v>
      </c>
      <c r="F134" s="30">
        <v>126</v>
      </c>
      <c r="G134" s="30">
        <v>698.19</v>
      </c>
    </row>
    <row r="135" spans="1:7" x14ac:dyDescent="0.25">
      <c r="A135" s="27" t="s">
        <v>448</v>
      </c>
      <c r="B135" s="28">
        <v>700</v>
      </c>
      <c r="C135" s="28">
        <v>700</v>
      </c>
      <c r="D135" s="28">
        <v>38</v>
      </c>
      <c r="E135" s="28">
        <v>38</v>
      </c>
      <c r="F135" s="28">
        <v>133</v>
      </c>
      <c r="G135" s="28">
        <v>731.52</v>
      </c>
    </row>
    <row r="136" spans="1:7" x14ac:dyDescent="0.25">
      <c r="A136" s="29" t="s">
        <v>449</v>
      </c>
      <c r="B136" s="30">
        <v>700</v>
      </c>
      <c r="C136" s="30">
        <v>700</v>
      </c>
      <c r="D136" s="30">
        <v>40</v>
      </c>
      <c r="E136" s="30">
        <v>40</v>
      </c>
      <c r="F136" s="30">
        <v>140</v>
      </c>
      <c r="G136" s="30">
        <v>764.27</v>
      </c>
    </row>
    <row r="137" spans="1:7" x14ac:dyDescent="0.25">
      <c r="A137" s="27" t="s">
        <v>450</v>
      </c>
      <c r="B137" s="28">
        <v>750</v>
      </c>
      <c r="C137" s="28">
        <v>750</v>
      </c>
      <c r="D137" s="28">
        <v>16</v>
      </c>
      <c r="E137" s="28">
        <v>16</v>
      </c>
      <c r="F137" s="28">
        <v>56</v>
      </c>
      <c r="G137" s="28">
        <v>358.41</v>
      </c>
    </row>
    <row r="138" spans="1:7" x14ac:dyDescent="0.25">
      <c r="A138" s="29" t="s">
        <v>451</v>
      </c>
      <c r="B138" s="30">
        <v>750</v>
      </c>
      <c r="C138" s="30">
        <v>750</v>
      </c>
      <c r="D138" s="30">
        <v>19</v>
      </c>
      <c r="E138" s="30">
        <v>19</v>
      </c>
      <c r="F138" s="30">
        <v>66.5</v>
      </c>
      <c r="G138" s="30">
        <v>421.52</v>
      </c>
    </row>
    <row r="139" spans="1:7" x14ac:dyDescent="0.25">
      <c r="A139" s="27" t="s">
        <v>452</v>
      </c>
      <c r="B139" s="28">
        <v>750</v>
      </c>
      <c r="C139" s="28">
        <v>750</v>
      </c>
      <c r="D139" s="28">
        <v>22</v>
      </c>
      <c r="E139" s="28">
        <v>22</v>
      </c>
      <c r="F139" s="28">
        <v>77</v>
      </c>
      <c r="G139" s="28">
        <v>483.33</v>
      </c>
    </row>
    <row r="140" spans="1:7" x14ac:dyDescent="0.25">
      <c r="A140" s="29" t="s">
        <v>453</v>
      </c>
      <c r="B140" s="30">
        <v>750</v>
      </c>
      <c r="C140" s="30">
        <v>750</v>
      </c>
      <c r="D140" s="30">
        <v>25</v>
      </c>
      <c r="E140" s="30">
        <v>25</v>
      </c>
      <c r="F140" s="30">
        <v>87.5</v>
      </c>
      <c r="G140" s="30">
        <v>543.86</v>
      </c>
    </row>
    <row r="141" spans="1:7" x14ac:dyDescent="0.25">
      <c r="A141" s="27" t="s">
        <v>454</v>
      </c>
      <c r="B141" s="28">
        <v>750</v>
      </c>
      <c r="C141" s="28">
        <v>750</v>
      </c>
      <c r="D141" s="28">
        <v>28</v>
      </c>
      <c r="E141" s="28">
        <v>28</v>
      </c>
      <c r="F141" s="28">
        <v>98</v>
      </c>
      <c r="G141" s="28">
        <v>603.08</v>
      </c>
    </row>
    <row r="142" spans="1:7" x14ac:dyDescent="0.25">
      <c r="A142" s="29" t="s">
        <v>455</v>
      </c>
      <c r="B142" s="30">
        <v>750</v>
      </c>
      <c r="C142" s="30">
        <v>750</v>
      </c>
      <c r="D142" s="30">
        <v>32</v>
      </c>
      <c r="E142" s="30">
        <v>32</v>
      </c>
      <c r="F142" s="30">
        <v>112</v>
      </c>
      <c r="G142" s="30">
        <v>680.05</v>
      </c>
    </row>
    <row r="143" spans="1:7" x14ac:dyDescent="0.25">
      <c r="A143" s="27" t="s">
        <v>456</v>
      </c>
      <c r="B143" s="28">
        <v>750</v>
      </c>
      <c r="C143" s="28">
        <v>750</v>
      </c>
      <c r="D143" s="28">
        <v>36</v>
      </c>
      <c r="E143" s="28">
        <v>36</v>
      </c>
      <c r="F143" s="28">
        <v>126</v>
      </c>
      <c r="G143" s="28">
        <v>754.71</v>
      </c>
    </row>
    <row r="144" spans="1:7" x14ac:dyDescent="0.25">
      <c r="A144" s="29" t="s">
        <v>457</v>
      </c>
      <c r="B144" s="30">
        <v>750</v>
      </c>
      <c r="C144" s="30">
        <v>750</v>
      </c>
      <c r="D144" s="30">
        <v>38</v>
      </c>
      <c r="E144" s="30">
        <v>38</v>
      </c>
      <c r="F144" s="30">
        <v>133</v>
      </c>
      <c r="G144" s="30">
        <v>791.18</v>
      </c>
    </row>
    <row r="145" spans="1:7" x14ac:dyDescent="0.25">
      <c r="A145" s="27" t="s">
        <v>458</v>
      </c>
      <c r="B145" s="28">
        <v>750</v>
      </c>
      <c r="C145" s="28">
        <v>750</v>
      </c>
      <c r="D145" s="28">
        <v>40</v>
      </c>
      <c r="E145" s="28">
        <v>40</v>
      </c>
      <c r="F145" s="28">
        <v>140</v>
      </c>
      <c r="G145" s="28">
        <v>827.07</v>
      </c>
    </row>
    <row r="146" spans="1:7" x14ac:dyDescent="0.25">
      <c r="A146" s="29" t="s">
        <v>459</v>
      </c>
      <c r="B146" s="30">
        <v>800</v>
      </c>
      <c r="C146" s="30">
        <v>800</v>
      </c>
      <c r="D146" s="30">
        <v>16</v>
      </c>
      <c r="E146" s="30">
        <v>16</v>
      </c>
      <c r="F146" s="30">
        <v>56</v>
      </c>
      <c r="G146" s="30">
        <v>383.53</v>
      </c>
    </row>
    <row r="147" spans="1:7" x14ac:dyDescent="0.25">
      <c r="A147" s="27" t="s">
        <v>460</v>
      </c>
      <c r="B147" s="28">
        <v>800</v>
      </c>
      <c r="C147" s="28">
        <v>800</v>
      </c>
      <c r="D147" s="28">
        <v>19</v>
      </c>
      <c r="E147" s="28">
        <v>19</v>
      </c>
      <c r="F147" s="28">
        <v>66.5</v>
      </c>
      <c r="G147" s="28">
        <v>451.35</v>
      </c>
    </row>
    <row r="148" spans="1:7" x14ac:dyDescent="0.25">
      <c r="A148" s="29" t="s">
        <v>461</v>
      </c>
      <c r="B148" s="30">
        <v>800</v>
      </c>
      <c r="C148" s="30">
        <v>800</v>
      </c>
      <c r="D148" s="30">
        <v>22</v>
      </c>
      <c r="E148" s="30">
        <v>22</v>
      </c>
      <c r="F148" s="30">
        <v>77</v>
      </c>
      <c r="G148" s="30">
        <v>517.87</v>
      </c>
    </row>
    <row r="149" spans="1:7" x14ac:dyDescent="0.25">
      <c r="A149" s="27" t="s">
        <v>462</v>
      </c>
      <c r="B149" s="28">
        <v>800</v>
      </c>
      <c r="C149" s="28">
        <v>800</v>
      </c>
      <c r="D149" s="28">
        <v>25</v>
      </c>
      <c r="E149" s="28">
        <v>25</v>
      </c>
      <c r="F149" s="28">
        <v>87.5</v>
      </c>
      <c r="G149" s="28">
        <v>583.11</v>
      </c>
    </row>
    <row r="150" spans="1:7" x14ac:dyDescent="0.25">
      <c r="A150" s="29" t="s">
        <v>463</v>
      </c>
      <c r="B150" s="30">
        <v>800</v>
      </c>
      <c r="C150" s="30">
        <v>800</v>
      </c>
      <c r="D150" s="30">
        <v>28</v>
      </c>
      <c r="E150" s="30">
        <v>28</v>
      </c>
      <c r="F150" s="30">
        <v>98</v>
      </c>
      <c r="G150" s="30">
        <v>647.04</v>
      </c>
    </row>
    <row r="151" spans="1:7" x14ac:dyDescent="0.25">
      <c r="A151" s="27" t="s">
        <v>464</v>
      </c>
      <c r="B151" s="28">
        <v>800</v>
      </c>
      <c r="C151" s="28">
        <v>800</v>
      </c>
      <c r="D151" s="28">
        <v>32</v>
      </c>
      <c r="E151" s="28">
        <v>32</v>
      </c>
      <c r="F151" s="28">
        <v>112</v>
      </c>
      <c r="G151" s="28">
        <v>730.29</v>
      </c>
    </row>
    <row r="152" spans="1:7" x14ac:dyDescent="0.25">
      <c r="A152" s="29" t="s">
        <v>465</v>
      </c>
      <c r="B152" s="30">
        <v>800</v>
      </c>
      <c r="C152" s="30">
        <v>800</v>
      </c>
      <c r="D152" s="30">
        <v>36</v>
      </c>
      <c r="E152" s="30">
        <v>36</v>
      </c>
      <c r="F152" s="30">
        <v>126</v>
      </c>
      <c r="G152" s="30">
        <v>811.23</v>
      </c>
    </row>
    <row r="153" spans="1:7" x14ac:dyDescent="0.25">
      <c r="A153" s="27" t="s">
        <v>466</v>
      </c>
      <c r="B153" s="28">
        <v>800</v>
      </c>
      <c r="C153" s="28">
        <v>800</v>
      </c>
      <c r="D153" s="28">
        <v>38</v>
      </c>
      <c r="E153" s="28">
        <v>38</v>
      </c>
      <c r="F153" s="28">
        <v>133</v>
      </c>
      <c r="G153" s="28">
        <v>850.84</v>
      </c>
    </row>
    <row r="154" spans="1:7" x14ac:dyDescent="0.25">
      <c r="A154" s="29" t="s">
        <v>467</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2026-09-02T05:00:58Z</dcterms:created>
  <dcterms:modified xsi:type="dcterms:W3CDTF">2026-09-02T05:00:58Z</dcterms:modified>
</cp:coreProperties>
</file>