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RAM" state="visible" r:id="rId4"/>
    <sheet sheetId="2" name="input" state="visible" r:id="rId5"/>
    <sheet sheetId="3" name="SECT" state="visible" r:id="rId6"/>
    <sheet sheetId="4" name="TUBE" state="visible" r:id="rId7"/>
  </sheets>
  <definedNames>
    <definedName name="SEC_H">SECT!$A$2:$A$60</definedName>
    <definedName name="SEC_R">TUBE!$A$2:$A$154</definedName>
  </definedNames>
  <calcPr calcId="171027"/>
</workbook>
</file>

<file path=xl/sharedStrings.xml><?xml version="1.0" encoding="utf-8"?>
<sst xmlns="http://schemas.openxmlformats.org/spreadsheetml/2006/main" count="895" uniqueCount="441">
  <si>
    <t>COLUMN</t>
  </si>
  <si>
    <t>Three pieces and a splice where two of them meet. Fill in the blue cells — the input tab is written from this one.</t>
  </si>
  <si>
    <t xml:space="preserve">  1.  SECTION</t>
  </si>
  <si>
    <t>Type decides which list the Section cell offers — H sections, or square tubes</t>
  </si>
  <si>
    <t>Type</t>
  </si>
  <si>
    <t>Section</t>
  </si>
  <si>
    <t>h</t>
  </si>
  <si>
    <t>b</t>
  </si>
  <si>
    <t>tw / t</t>
  </si>
  <si>
    <t>tf</t>
  </si>
  <si>
    <t>r</t>
  </si>
  <si>
    <t>Alpha</t>
  </si>
  <si>
    <t>kg/m</t>
  </si>
  <si>
    <t>Column</t>
  </si>
  <si>
    <t>H</t>
  </si>
  <si>
    <t>H-300x300x10x15 r18</t>
  </si>
  <si>
    <t>Length</t>
  </si>
  <si>
    <t>upper</t>
  </si>
  <si>
    <t>middle</t>
  </si>
  <si>
    <t>lower</t>
  </si>
  <si>
    <t>Steel</t>
  </si>
  <si>
    <t>SS275</t>
  </si>
  <si>
    <t>put 0 in upper or lower if you do not want that piece — its splice goes with it</t>
  </si>
  <si>
    <t>Pick "user define" at the top of either list and the five cells go blank — type over them. A tube has no flange, so its wall goes in tw and tf alike.</t>
  </si>
  <si>
    <t>Alpha turns the whole column about its axis, plates and bolts with it. 0 faces the flanges along X, ±90 along Y; a tube looks alike either way.</t>
  </si>
  <si>
    <t>checked for you</t>
  </si>
  <si>
    <t>section</t>
  </si>
  <si>
    <t>splices</t>
  </si>
  <si>
    <t>flanges face</t>
  </si>
  <si>
    <t xml:space="preserve">  2.  SPLICE PLATES</t>
  </si>
  <si>
    <t>cover plates on an H, an end plate on a tube — Type keeps whichever the section calls for</t>
  </si>
  <si>
    <t>Width</t>
  </si>
  <si>
    <t>Thick</t>
  </si>
  <si>
    <t>Qty</t>
  </si>
  <si>
    <t>Material</t>
  </si>
  <si>
    <t>gap / over</t>
  </si>
  <si>
    <t>Flange plate</t>
  </si>
  <si>
    <t>Type H</t>
  </si>
  <si>
    <t>Flange inner plate</t>
  </si>
  <si>
    <t>Web plate</t>
  </si>
  <si>
    <t>End plate</t>
  </si>
  <si>
    <t>Type R</t>
  </si>
  <si>
    <t>Width is across the flange or through the web; Length runs along the column. The end plate follows the section, plus 60 all round.</t>
  </si>
  <si>
    <t>in use</t>
  </si>
  <si>
    <t>plate steel, kg</t>
  </si>
  <si>
    <t>plates fit</t>
  </si>
  <si>
    <t xml:space="preserve">  3.  BOLTS</t>
  </si>
  <si>
    <t>the shank and the hole are different sizes, and each grip gets its own length</t>
  </si>
  <si>
    <t>dia</t>
  </si>
  <si>
    <t>hole</t>
  </si>
  <si>
    <t>grade</t>
  </si>
  <si>
    <t>flange L</t>
  </si>
  <si>
    <t>web L</t>
  </si>
  <si>
    <t>end L</t>
  </si>
  <si>
    <t>Bolt</t>
  </si>
  <si>
    <t>F10T</t>
  </si>
  <si>
    <t>bolt group</t>
  </si>
  <si>
    <t>Long N</t>
  </si>
  <si>
    <t>In</t>
  </si>
  <si>
    <t>Out</t>
  </si>
  <si>
    <t>Trans N</t>
  </si>
  <si>
    <t>Flange</t>
  </si>
  <si>
    <t>Web</t>
  </si>
  <si>
    <t>Width N</t>
  </si>
  <si>
    <t>Length N</t>
  </si>
  <si>
    <t>Flange and Web: Long is along the column, Trans across it. End plate: how many bolts down each side of the plate, and Out from its edge.</t>
  </si>
  <si>
    <t>flange pitch</t>
  </si>
  <si>
    <t>web pitch</t>
  </si>
  <si>
    <t>bolts</t>
  </si>
  <si>
    <t xml:space="preserve">  4.  BEAMS</t>
  </si>
  <si>
    <t>four world directions - X+ X- Y+ Y-. Length 0 and that beam is not there</t>
  </si>
  <si>
    <t>Detail</t>
  </si>
  <si>
    <t>tw</t>
  </si>
  <si>
    <t>X+</t>
  </si>
  <si>
    <t>C1</t>
  </si>
  <si>
    <t>H-300x150x6.5x9 r13</t>
  </si>
  <si>
    <t>X-</t>
  </si>
  <si>
    <t>C3</t>
  </si>
  <si>
    <t>Y+</t>
  </si>
  <si>
    <t>Y-</t>
  </si>
  <si>
    <t>Beams are H only: a tube has no web to bolt through. The direction is the world's, so Alpha decides whether a beam lands on a flange or on the web.</t>
  </si>
  <si>
    <t>X faces</t>
  </si>
  <si>
    <t>Y faces</t>
  </si>
  <si>
    <t>beams</t>
  </si>
  <si>
    <t xml:space="preserve">  5.  CONNECTION</t>
  </si>
  <si>
    <t>declare them here, then name one against each beam above — end plate bolts through the column, fin plate through the beam web</t>
  </si>
  <si>
    <t>what it is</t>
  </si>
  <si>
    <t>setback</t>
  </si>
  <si>
    <t>width</t>
  </si>
  <si>
    <t>height</t>
  </si>
  <si>
    <t>thick</t>
  </si>
  <si>
    <t>gauge</t>
  </si>
  <si>
    <t>edge</t>
  </si>
  <si>
    <t>pitch</t>
  </si>
  <si>
    <t>count</t>
  </si>
  <si>
    <t>end plate</t>
  </si>
  <si>
    <t>3 rows, through the col</t>
  </si>
  <si>
    <t>C2</t>
  </si>
  <si>
    <t>4 rows, for a deep beam</t>
  </si>
  <si>
    <t>fin plate</t>
  </si>
  <si>
    <t>3 bolts through the web</t>
  </si>
  <si>
    <t>C4</t>
  </si>
  <si>
    <t>4 bolts through the web</t>
  </si>
  <si>
    <t>C5</t>
  </si>
  <si>
    <t>2 bolts, a thinner fin</t>
  </si>
  <si>
    <t>C6</t>
  </si>
  <si>
    <t>spare — set a Type</t>
  </si>
  <si>
    <t>The mark is just a mark — Type says what it is. End plate gauge is across the beam web, fin plate gauge out from the column face.</t>
  </si>
  <si>
    <t>marks</t>
  </si>
  <si>
    <t>widest end plate</t>
  </si>
  <si>
    <t>longest bolt</t>
  </si>
  <si>
    <t>flange passes</t>
  </si>
  <si>
    <t xml:space="preserve">  6.  COLUMN STIFFENER</t>
  </si>
  <si>
    <t>horizontal plates inside an H — a tube cannot take one, nothing reaches inside the wall</t>
  </si>
  <si>
    <t>for</t>
  </si>
  <si>
    <t>offset</t>
  </si>
  <si>
    <t>depth</t>
  </si>
  <si>
    <t>1</t>
  </si>
  <si>
    <t>beam top flange</t>
  </si>
  <si>
    <t>2</t>
  </si>
  <si>
    <t>beam bottom flange</t>
  </si>
  <si>
    <t>3</t>
  </si>
  <si>
    <t>4</t>
  </si>
  <si>
    <t>5</t>
  </si>
  <si>
    <t>6</t>
  </si>
  <si>
    <t>7</t>
  </si>
  <si>
    <t>8</t>
  </si>
  <si>
    <t>Offset is signed, from the middle column's centre — where the beams sit. Width runs out from the web, depth between the flanges. Thick 0 = off.</t>
  </si>
  <si>
    <t>plates</t>
  </si>
  <si>
    <t>fits</t>
  </si>
  <si>
    <t>beam flange at ±</t>
  </si>
  <si>
    <t>Written from PARAM. Nothing here needs editing — change the front sheet instead.</t>
  </si>
  <si>
    <t>COORD</t>
  </si>
  <si>
    <t>ZUP</t>
  </si>
  <si>
    <t/>
  </si>
  <si>
    <t>SECT  id  material  length  TYPE  base.pt  v1..v7        an H takes seven values, a tube four — the last three go blank by formula</t>
  </si>
  <si>
    <t>MAX(1,..) keeps the definition alive when its piece is switched off below: a SECT of length 0 is not defined at all, and the MODULE naming it then fails.</t>
  </si>
  <si>
    <t>SECT</t>
  </si>
  <si>
    <t>sc.c1</t>
  </si>
  <si>
    <t>mc</t>
  </si>
  <si>
    <t>sc.c2</t>
  </si>
  <si>
    <t>sc.c3</t>
  </si>
  <si>
    <t>PLATE / BOLT   —   pl.fo is the flange cover plate on an H and the end plate on a tube; the inner and web plates are switched off on a tube, and so are the bolts that hold them.</t>
  </si>
  <si>
    <t>flange plate, or end plate</t>
  </si>
  <si>
    <t>PLATE</t>
  </si>
  <si>
    <t>pl.fo</t>
  </si>
  <si>
    <t>RECT</t>
  </si>
  <si>
    <t>flange inner plate, x4 — H only</t>
  </si>
  <si>
    <t>pl.fi</t>
  </si>
  <si>
    <t>web plate, x2 — H only</t>
  </si>
  <si>
    <t>pl.wp</t>
  </si>
  <si>
    <t>flange bolt, or end plate bolt</t>
  </si>
  <si>
    <t>BOLT</t>
  </si>
  <si>
    <t>bo.f</t>
  </si>
  <si>
    <t>web bolt — H only</t>
  </si>
  <si>
    <t>bo.w</t>
  </si>
  <si>
    <t>the stiffeners, one plate per level. RECT takes B then H: B runs along the column's h and is the DEPTH between the flanges, H runs along b and is the WIDTH out from the web.</t>
  </si>
  <si>
    <t>MAX(1,..) once more — a plate of zero size is not defined at all, and the MODULE naming it would then fail rather than quietly skip.</t>
  </si>
  <si>
    <t>level 1 — every row of chapter 6 gets one of these</t>
  </si>
  <si>
    <t>pl.stf1</t>
  </si>
  <si>
    <t>pl.stf2</t>
  </si>
  <si>
    <t>pl.stf3</t>
  </si>
  <si>
    <t>pl.stf4</t>
  </si>
  <si>
    <t>pl.stf5</t>
  </si>
  <si>
    <t>pl.stf6</t>
  </si>
  <si>
    <t>pl.stf7</t>
  </si>
  <si>
    <t>pl.stf8</t>
  </si>
  <si>
    <t>MODULE  id  member  Ref.Pt  L.X  L.Y  L.Z  PLANE  [ROT.X ROT.Y ROT.Z]  [dx dy dz repeat]  [dx2 dy2 dz2 repeat2]</t>
  </si>
  <si>
    <t>ROT.Z 90 turns the section so its h runs along X. A square column cannot show that in a bounding box, so it is written down rather than looked for.</t>
  </si>
  <si>
    <t>a blank member is simply not there — which is how a length of 0 removes a piece</t>
  </si>
  <si>
    <t>MODULE</t>
  </si>
  <si>
    <t>md.c1</t>
  </si>
  <si>
    <t>XY</t>
  </si>
  <si>
    <t>BASE</t>
  </si>
  <si>
    <t>md.c2</t>
  </si>
  <si>
    <t>md.c3</t>
  </si>
  <si>
    <t>The splice, its origin the middle of the joint. Every quadrant of a bolt group is one row: the two repeat axes reach across the flange and along the column, and the four sign combinations are the four corners of the pattern.</t>
  </si>
  <si>
    <t>flange plate on each flange — or, on a tube, the two end plates</t>
  </si>
  <si>
    <t>md.spu</t>
  </si>
  <si>
    <t>inner plates, each centred on its own two bolt lines</t>
  </si>
  <si>
    <t>YZ</t>
  </si>
  <si>
    <t>web plate, one each side</t>
  </si>
  <si>
    <t>XZ</t>
  </si>
  <si>
    <t>one quadrant of the flange group; eight rows make the two flanges</t>
  </si>
  <si>
    <t>end plate: a full line down each X side of the plate</t>
  </si>
  <si>
    <t>and the Y sides between them, corners already taken</t>
  </si>
  <si>
    <t>the web: no gap at the middle of the depth, so it is one run across</t>
  </si>
  <si>
    <t>pl.fo_1</t>
  </si>
  <si>
    <t>md.spd</t>
  </si>
  <si>
    <t>the stiffeners, inside the middle column module so Alpha turns them with it. Local z 0 is the foot of that piece, so its centre — and the beams — are at mid/2.</t>
  </si>
  <si>
    <t>One row per level; the repeat puts the second plate the other side of the web, the web splitting the space between the flanges in two.</t>
  </si>
  <si>
    <t>level 1, one plate each side of the web</t>
  </si>
  <si>
    <t>ASSY  id  ref  cmd  p1 p2 p3        BASE holds pl.fo_1, so a splice row names where THAT plate sits, not where the joint is</t>
  </si>
  <si>
    <t>ASSY</t>
  </si>
  <si>
    <t>as.col</t>
  </si>
  <si>
    <t>ADD</t>
  </si>
  <si>
    <t>upper, clear of the joint</t>
  </si>
  <si>
    <t>the splice point goes round the axis with the rest of it</t>
  </si>
  <si>
    <t>SECT / PLATE / BOLT for the beams. One end plate serves all four; the bolt comes in two lengths because an X face and a Y face are not the same thickness of steel once Alpha has turned the column.</t>
  </si>
  <si>
    <t>one per direction, so each can be its own section</t>
  </si>
  <si>
    <t>sc.bma</t>
  </si>
  <si>
    <t>sc.bmb</t>
  </si>
  <si>
    <t>sc.bmc</t>
  </si>
  <si>
    <t>sc.bmd</t>
  </si>
  <si>
    <t>One plate and one bolt for each beam, since each beam names its own connection. The plate is the end plate or the fin depending on that mark; MAX(1,..) keeps it defined when the mark is blank.</t>
  </si>
  <si>
    <t>the end plate or the fin, whichever this beam's mark names</t>
  </si>
  <si>
    <t>pl.cna</t>
  </si>
  <si>
    <t>pl.cnb</t>
  </si>
  <si>
    <t>pl.cnc</t>
  </si>
  <si>
    <t>pl.cnd</t>
  </si>
  <si>
    <t>its length follows the grip, and the grip follows the mark</t>
  </si>
  <si>
    <t>bo.cna</t>
  </si>
  <si>
    <t>bo.cnb</t>
  </si>
  <si>
    <t>bo.cnc</t>
  </si>
  <si>
    <t>bo.cnd</t>
  </si>
  <si>
    <t>Each beam is one module, written for BOTH details at once. Its origin is the START FACE OF THE BEAM, which is the point BASE holds, so every other row is a distance measured back from there.</t>
  </si>
  <si>
    <t>beam X+  —  C1, end plate</t>
  </si>
  <si>
    <t>end plate, on the beam end</t>
  </si>
  <si>
    <t>md.bma</t>
  </si>
  <si>
    <t>on a tube column, a second one welded to the wall</t>
  </si>
  <si>
    <t>fin plate, reaching out from the column beside the web</t>
  </si>
  <si>
    <t>the beam, at the module origin</t>
  </si>
  <si>
    <t>two across the web on an end plate, one line on a fin</t>
  </si>
  <si>
    <t>beam X-  —  C3, fin plate</t>
  </si>
  <si>
    <t>md.bmb</t>
  </si>
  <si>
    <t>beam Y+  —  C3, fin plate</t>
  </si>
  <si>
    <t>md.bmc</t>
  </si>
  <si>
    <t>beam Y-  —  off, its Length being 0</t>
  </si>
  <si>
    <t>md.bmd</t>
  </si>
  <si>
    <t>The beams go on last. No spin: they belong to the grid, not to the column.</t>
  </si>
  <si>
    <t>the beam start: the column face, plus the plate or plates in front of it</t>
  </si>
  <si>
    <t>END</t>
  </si>
  <si>
    <t>user define</t>
  </si>
  <si>
    <t>H-100x100x6x8 r10</t>
  </si>
  <si>
    <t>H-125x125x6.5x9 r10</t>
  </si>
  <si>
    <t>H-150x75x5x7 r8</t>
  </si>
  <si>
    <t>H-148x100x6x9 r11</t>
  </si>
  <si>
    <t>H-150x150x7x10 r11</t>
  </si>
  <si>
    <t>H-198x99x4.5x7 r11</t>
  </si>
  <si>
    <t>H-200x100x5.5x8 r11</t>
  </si>
  <si>
    <t>H-194x150x6x9 r13</t>
  </si>
  <si>
    <t>H-200x200x8x12 r13</t>
  </si>
  <si>
    <t>H-200x204x12x12 r13</t>
  </si>
  <si>
    <t>H-248x124x5x8 r12</t>
  </si>
  <si>
    <t>H-250x125x6x9 r12</t>
  </si>
  <si>
    <t>H-244x175x7x11 r16</t>
  </si>
  <si>
    <t>H-250x250x9x14 r16</t>
  </si>
  <si>
    <t>H-250x255x14x14 r16</t>
  </si>
  <si>
    <t>H-298x149x5.5x8 r13</t>
  </si>
  <si>
    <t>H-294x200x8x12 r18</t>
  </si>
  <si>
    <t>H-294x302x12x12 r18</t>
  </si>
  <si>
    <t>H-300x305x15x15 r18</t>
  </si>
  <si>
    <t>H-346x174x6x9 r14</t>
  </si>
  <si>
    <t>H-350x175x7x11 r14</t>
  </si>
  <si>
    <t>H-340x250x9x14 r20</t>
  </si>
  <si>
    <t>H-344x348x10x16 r20</t>
  </si>
  <si>
    <t>H-350x350x12x19 r20</t>
  </si>
  <si>
    <t>H-396x199x7x11 r16</t>
  </si>
  <si>
    <t>H-400x200x8x13 r16</t>
  </si>
  <si>
    <t>H-390x300x10x16 r22</t>
  </si>
  <si>
    <t>H-388x402x15x15 r22</t>
  </si>
  <si>
    <t>H-394x398x11x18 r22</t>
  </si>
  <si>
    <t>H-400x400x13x21 r22</t>
  </si>
  <si>
    <t>H-400x408x21x21 r22</t>
  </si>
  <si>
    <t>H-414x405x18x28 r22</t>
  </si>
  <si>
    <t>H-428x407x20x35 r22</t>
  </si>
  <si>
    <t>H-458x417x30x50 r22</t>
  </si>
  <si>
    <t>H-498x432x45x70 r22</t>
  </si>
  <si>
    <t>H-446x199x8x12 r18</t>
  </si>
  <si>
    <t>H-450x200x9x14 r18</t>
  </si>
  <si>
    <t>H-440x300x11x18 r24</t>
  </si>
  <si>
    <t>H-440x300x11x18 r13</t>
  </si>
  <si>
    <t>H-496x199x9x14 r13</t>
  </si>
  <si>
    <t>H-500x200x10x16 r13</t>
  </si>
  <si>
    <t>H-482x300x11x15 r13</t>
  </si>
  <si>
    <t>H-488x300x11x18 r13</t>
  </si>
  <si>
    <t>H-596x199x10x15 r13</t>
  </si>
  <si>
    <t>H-600x200x11x17 r13</t>
  </si>
  <si>
    <t>H-582x300x12x17 r13</t>
  </si>
  <si>
    <t>H-588x300x12x20 r13</t>
  </si>
  <si>
    <t>H-594x302x14x23 r13</t>
  </si>
  <si>
    <t>H-692x300x13x20 r18</t>
  </si>
  <si>
    <t>H-700x300x13x24 r18</t>
  </si>
  <si>
    <t>H-792x300x14x22 r18</t>
  </si>
  <si>
    <t>H-800x300x14x26 r18</t>
  </si>
  <si>
    <t>H-890x299x15x23 r18</t>
  </si>
  <si>
    <t>H-900x300x16x28 r18</t>
  </si>
  <si>
    <t>H-912x302x18x34 r18</t>
  </si>
  <si>
    <t>H-918x303x19x37 r18</t>
  </si>
  <si>
    <t>R-20x20x1.2 r2.4</t>
  </si>
  <si>
    <t>R-20x20x1.6 r3.2</t>
  </si>
  <si>
    <t>R-25x25x1.2 r2.4</t>
  </si>
  <si>
    <t>R-25x25x1.6 r3.2</t>
  </si>
  <si>
    <t>R-30x30x1.2 r2.4</t>
  </si>
  <si>
    <t>R-30x30x1.6 r3.2</t>
  </si>
  <si>
    <t>R-40x40x1.6 r3.2</t>
  </si>
  <si>
    <t>R-40x40x2.3 r4.6</t>
  </si>
  <si>
    <t>R-50x50x1.6 r3.2</t>
  </si>
  <si>
    <t>R-50x50x2.3 r4.6</t>
  </si>
  <si>
    <t>R-50x50x3.2 r6.4</t>
  </si>
  <si>
    <t>R-60x60x1.6 r3.2</t>
  </si>
  <si>
    <t>R-60x60x2.3 r4.6</t>
  </si>
  <si>
    <t>R-60x60x3.2 r6.4</t>
  </si>
  <si>
    <t>R-75x75x1.6 r3.2</t>
  </si>
  <si>
    <t>R-75x75x2.3 r4.6</t>
  </si>
  <si>
    <t>R-75x75x3.2 r6.4</t>
  </si>
  <si>
    <t>R-75x75x4.5 r9</t>
  </si>
  <si>
    <t>R-80x80x2.3 r4.6</t>
  </si>
  <si>
    <t>R-80x80x3.2 r6.4</t>
  </si>
  <si>
    <t>R-80x80x4.5 r9</t>
  </si>
  <si>
    <t>R-90x90x2.3 r4.6</t>
  </si>
  <si>
    <t>R-90x90x3.2 r6.4</t>
  </si>
  <si>
    <t>R-100x100x2.3 r4.6</t>
  </si>
  <si>
    <t>R-100x100x3.2 r6.4</t>
  </si>
  <si>
    <t>R-100x100x4 r8</t>
  </si>
  <si>
    <t>R-100x100x4.5 r9</t>
  </si>
  <si>
    <t>R-100x100x6 r12</t>
  </si>
  <si>
    <t>R-100x100x9 r18</t>
  </si>
  <si>
    <t>R-100x100x12 r24</t>
  </si>
  <si>
    <t>R-125x125x3.2 r6.4</t>
  </si>
  <si>
    <t>R-125x125x4.5 r9</t>
  </si>
  <si>
    <t>R-125x125x5 r10</t>
  </si>
  <si>
    <t>R-125x125x6 r12</t>
  </si>
  <si>
    <t>R-125x125x9 r18</t>
  </si>
  <si>
    <t>R-125x125x12 r24</t>
  </si>
  <si>
    <t>R-150x150x4.5 r9</t>
  </si>
  <si>
    <t>R-150x150x5 r10</t>
  </si>
  <si>
    <t>R-150x150x6 r12</t>
  </si>
  <si>
    <t>R-150x150x9 r18</t>
  </si>
  <si>
    <t>R-175x175x4.5 r9</t>
  </si>
  <si>
    <t>R-175x175x5 r10</t>
  </si>
  <si>
    <t>R-175x175x6 r12</t>
  </si>
  <si>
    <t>R-200x200x4.5 r9</t>
  </si>
  <si>
    <t>R-200x200x5 r10</t>
  </si>
  <si>
    <t>R-200x200x6 r12</t>
  </si>
  <si>
    <t>R-200x200x9 r18</t>
  </si>
  <si>
    <t>R-200x200x12 r24</t>
  </si>
  <si>
    <t>R-250x250x5 r10</t>
  </si>
  <si>
    <t>R-250x250x6 r12</t>
  </si>
  <si>
    <t>R-250x250x8 r16</t>
  </si>
  <si>
    <t>R-250x250x9 r18</t>
  </si>
  <si>
    <t>R-250x250x12 r24</t>
  </si>
  <si>
    <t>R-300x300x4.5 r9</t>
  </si>
  <si>
    <t>R-300x300x6 r12</t>
  </si>
  <si>
    <t>R-300x300x9 r18</t>
  </si>
  <si>
    <t>R-300x300x12 r24</t>
  </si>
  <si>
    <t>R-200x200x6 r15</t>
  </si>
  <si>
    <t>R-200x200x8 r20</t>
  </si>
  <si>
    <t>R-200x200x9 r22.5</t>
  </si>
  <si>
    <t>R-200x200x12 r30</t>
  </si>
  <si>
    <t>R-250x250x6 r15</t>
  </si>
  <si>
    <t>R-250x250x8 r20</t>
  </si>
  <si>
    <t>R-250x250x9 r22.5</t>
  </si>
  <si>
    <t>R-250x250x12 r30</t>
  </si>
  <si>
    <t>R-250x250x14 r35</t>
  </si>
  <si>
    <t>R-250x250x16 r40</t>
  </si>
  <si>
    <t>R-300x300x6 r15</t>
  </si>
  <si>
    <t>R-300x300x8 r20</t>
  </si>
  <si>
    <t>R-300x300x9 r22.5</t>
  </si>
  <si>
    <t>R-300x300x12 r30</t>
  </si>
  <si>
    <t>R-300x300x14 r35</t>
  </si>
  <si>
    <t>R-300x300x16 r40</t>
  </si>
  <si>
    <t>R-300x300x19 r47.5</t>
  </si>
  <si>
    <t>R-350x350x9 r22.5</t>
  </si>
  <si>
    <t>R-350x350x12 r30</t>
  </si>
  <si>
    <t>R-350x350x14 r35</t>
  </si>
  <si>
    <t>R-350x350x16 r40</t>
  </si>
  <si>
    <t>R-350x350x19 r47.5</t>
  </si>
  <si>
    <t>R-350x350x22 r55</t>
  </si>
  <si>
    <t>R-400x400x9 r22.5</t>
  </si>
  <si>
    <t>R-400x400x12 r30</t>
  </si>
  <si>
    <t>R-400x400x14 r35</t>
  </si>
  <si>
    <t>R-400x400x16 r40</t>
  </si>
  <si>
    <t>R-400x400x19 r47.5</t>
  </si>
  <si>
    <t>R-400x400x22 r55</t>
  </si>
  <si>
    <t>R-450x450x9 r22.5</t>
  </si>
  <si>
    <t>R-450x450x12 r30</t>
  </si>
  <si>
    <t>R-450x450x14 r35</t>
  </si>
  <si>
    <t>R-450x450x16 r40</t>
  </si>
  <si>
    <t>R-450x450x19 r47.5</t>
  </si>
  <si>
    <t>R-450x450x22 r55</t>
  </si>
  <si>
    <t>R-500x500x9 r22.5</t>
  </si>
  <si>
    <t>R-500x500x12 r30</t>
  </si>
  <si>
    <t>R-500x500x14 r35</t>
  </si>
  <si>
    <t>R-500x500x16 r40</t>
  </si>
  <si>
    <t>R-500x500x19 r47.5</t>
  </si>
  <si>
    <t>R-500x500x22 r55</t>
  </si>
  <si>
    <t>R-550x550x12 r30</t>
  </si>
  <si>
    <t>R-550x550x14 r35</t>
  </si>
  <si>
    <t>R-550x550x16 r40</t>
  </si>
  <si>
    <t>R-550x550x19 r47.5</t>
  </si>
  <si>
    <t>R-550x550x22 r55</t>
  </si>
  <si>
    <t>R-600x600x9 r31.5</t>
  </si>
  <si>
    <t>R-600x600x12 r42</t>
  </si>
  <si>
    <t>R-600x600x16 r56</t>
  </si>
  <si>
    <t>R-600x600x19 r66.5</t>
  </si>
  <si>
    <t>R-600x600x22 r77</t>
  </si>
  <si>
    <t>R-600x600x25 r87.5</t>
  </si>
  <si>
    <t>R-600x600x28 r98</t>
  </si>
  <si>
    <t>R-600x600x32 r112</t>
  </si>
  <si>
    <t>R-600x600x36 r126</t>
  </si>
  <si>
    <t>R-600x600x38 r133</t>
  </si>
  <si>
    <t>R-600x600x40 r140</t>
  </si>
  <si>
    <t>R-650x650x12 r42</t>
  </si>
  <si>
    <t>R-650x650x16 r56</t>
  </si>
  <si>
    <t>R-650x650x19 r66.5</t>
  </si>
  <si>
    <t>R-650x650x22 r77</t>
  </si>
  <si>
    <t>R-650x650x25 r87.5</t>
  </si>
  <si>
    <t>R-650x650x28 r98</t>
  </si>
  <si>
    <t>R-650x650x32 r112</t>
  </si>
  <si>
    <t>R-650x650x36 r126</t>
  </si>
  <si>
    <t>R-650x650x38 r133</t>
  </si>
  <si>
    <t>R-650x650x40 r140</t>
  </si>
  <si>
    <t>R-700x700x12 r42</t>
  </si>
  <si>
    <t>R-700x700x16 r56</t>
  </si>
  <si>
    <t>R-700x700x19 r66.5</t>
  </si>
  <si>
    <t>R-700x700x22 r77</t>
  </si>
  <si>
    <t>R-700x700x25 r87.5</t>
  </si>
  <si>
    <t>R-700x700x28 r98</t>
  </si>
  <si>
    <t>R-700x700x32 r112</t>
  </si>
  <si>
    <t>R-700x700x36 r126</t>
  </si>
  <si>
    <t>R-700x700x38 r133</t>
  </si>
  <si>
    <t>R-700x700x40 r140</t>
  </si>
  <si>
    <t>R-750x750x16 r56</t>
  </si>
  <si>
    <t>R-750x750x19 r66.5</t>
  </si>
  <si>
    <t>R-750x750x22 r77</t>
  </si>
  <si>
    <t>R-750x750x25 r87.5</t>
  </si>
  <si>
    <t>R-750x750x28 r98</t>
  </si>
  <si>
    <t>R-750x750x32 r112</t>
  </si>
  <si>
    <t>R-750x750x36 r126</t>
  </si>
  <si>
    <t>R-750x750x38 r133</t>
  </si>
  <si>
    <t>R-750x750x40 r140</t>
  </si>
  <si>
    <t>R-800x800x16 r56</t>
  </si>
  <si>
    <t>R-800x800x19 r66.5</t>
  </si>
  <si>
    <t>R-800x800x22 r77</t>
  </si>
  <si>
    <t>R-800x800x25 r87.5</t>
  </si>
  <si>
    <t>R-800x800x28 r98</t>
  </si>
  <si>
    <t>R-800x800x32 r112</t>
  </si>
  <si>
    <t>R-800x800x36 r126</t>
  </si>
  <si>
    <t>R-800x800x38 r133</t>
  </si>
  <si>
    <t>R-800x800x40 r140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</si>
</sst>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0"/>
  </numFmts>
  <fonts count="16"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b/>
      <color rgb="FFB45309"/>
      <sz val="9"/>
      <name val="Arial"/>
    </font>
    <font>
      <i/>
      <color rgb="FF64748B"/>
      <sz val="9"/>
      <name val="Arial"/>
    </font>
    <font>
      <color rgb="FF64748B"/>
      <sz val="9"/>
      <name val="Arial"/>
    </font>
    <font>
      <b/>
      <color rgb="FF94A3B8"/>
      <sz val="10"/>
      <name val="Arial"/>
    </font>
    <font>
      <color rgb="FF0F172A"/>
      <sz val="10"/>
      <name val="Arial"/>
    </font>
    <font>
      <b/>
      <color rgb="FFFFFFFF"/>
      <sz val="10"/>
      <name val="Arial"/>
    </font>
    <font>
      <b/>
      <sz val="10"/>
      <name val="Arial"/>
    </font>
    <font>
      <sz val="10"/>
      <name val="Arial"/>
    </font>
  </fonts>
  <fills count="6">
    <fill>
      <patternFill patternType="none"/>
    </fill>
    <fill>
      <patternFill patternType="gray125"/>
    </fill>
    <fill>
      <patternFill patternType="solid">
        <fgColor rgb="FF0F172A"/>
      </patternFill>
    </fill>
    <fill>
      <patternFill patternType="solid">
        <fgColor rgb="FFEFF6FF"/>
      </patternFill>
    </fill>
    <fill>
      <patternFill patternType="solid">
        <fgColor rgb="FFFEF3C7"/>
      </patternFill>
    </fill>
    <fill>
      <patternFill patternType="solid">
        <fgColor rgb="FFF1F5F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1">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164" fontId="7" fillId="3" borderId="1" xfId="0" applyNumberFormat="1" applyFont="1" applyFill="1" applyBorder="1" applyAlignment="1">
      <alignment horizontal="center" vertical="center"/>
    </xf>
    <xf numFmtId="165" fontId="2" fillId="0" borderId="1" xfId="0" applyNumberFormat="1" applyFont="1" applyBorder="1" applyAlignment="1">
      <alignment horizontal="center" vertical="center"/>
    </xf>
    <xf numFmtId="0" fontId="5" fillId="0" borderId="0" xfId="0" applyFont="1" applyAlignment="1">
      <alignment horizontal="right"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2" fillId="0" borderId="0" xfId="0" applyFont="1" applyAlignment="1">
      <alignment horizontal="center" vertical="center"/>
    </xf>
    <xf numFmtId="0" fontId="9" fillId="0" borderId="0" xfId="0" applyFont="1" applyAlignment="1">
      <alignment horizontal="center" vertical="center"/>
    </xf>
    <xf numFmtId="0" fontId="11" fillId="0" borderId="0" xfId="0" applyFont="1" applyAlignment="1">
      <alignment horizontal="left" vertical="center"/>
    </xf>
    <xf numFmtId="164" fontId="2" fillId="0" borderId="1" xfId="0" applyNumberFormat="1" applyFont="1" applyBorder="1" applyAlignment="1">
      <alignment horizontal="center" vertical="center"/>
    </xf>
    <xf numFmtId="164" fontId="6" fillId="0" borderId="1" xfId="0" applyNumberFormat="1" applyFont="1" applyBorder="1" applyAlignment="1">
      <alignment horizontal="center" vertical="center"/>
    </xf>
    <xf numFmtId="0" fontId="5" fillId="0" borderId="0" xfId="0" applyFont="1" applyAlignment="1">
      <alignment horizontal="left" vertical="center"/>
    </xf>
    <xf numFmtId="0" fontId="7" fillId="3" borderId="1" xfId="0" applyFont="1" applyFill="1" applyBorder="1" applyAlignment="1">
      <alignment horizontal="left" vertical="center"/>
    </xf>
    <xf numFmtId="0" fontId="7" fillId="0" borderId="0" xfId="0" applyFont="1" applyAlignment="1">
      <alignment horizontal="left" vertical="center"/>
    </xf>
    <xf numFmtId="0" fontId="12" fillId="0" borderId="0" xfId="0" applyFont="1" applyAlignment="1">
      <alignment horizontal="center" vertical="center"/>
    </xf>
    <xf numFmtId="0" fontId="13" fillId="2" borderId="1" xfId="0" applyFont="1" applyFill="1" applyBorder="1" applyAlignment="1">
      <alignment horizontal="left" vertical="center"/>
    </xf>
    <xf numFmtId="0" fontId="13" fillId="2" borderId="1" xfId="0" applyFont="1" applyFill="1" applyBorder="1" applyAlignment="1">
      <alignment horizontal="center" vertical="center"/>
    </xf>
    <xf numFmtId="0" fontId="14" fillId="4" borderId="1" xfId="0" applyFont="1" applyFill="1" applyBorder="1" applyAlignment="1">
      <alignment horizontal="left" vertical="center"/>
    </xf>
    <xf numFmtId="0" fontId="14" fillId="4" borderId="1" xfId="0" applyFont="1" applyFill="1" applyBorder="1" applyAlignment="1">
      <alignment horizontal="center" vertical="center"/>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xf>
    <xf numFmtId="0" fontId="15" fillId="0" borderId="1" xfId="0" applyFont="1" applyBorder="1" applyAlignment="1">
      <alignment horizontal="left" vertical="center"/>
    </xf>
    <xf numFmtId="0" fontId="15" fillId="0" borderId="1" xfId="0" applyFont="1" applyBorder="1" applyAlignment="1">
      <alignment horizontal="center" vertical="center"/>
    </xf>
  </cellXfs>
  <cellStyles count="1">
    <cellStyle name="Normal" xfId="0" builtinId="0"/>
  </cellStyles>
  <dxfs count="7">
    <dxf>
      <font>
        <color rgb="FFB9C2CE"/>
      </font>
      <fill>
        <patternFill patternType="solid">
          <bgColor rgb="FFF9FAFB"/>
        </patternFill>
      </fill>
    </dxf>
    <dxf>
      <font>
        <color rgb="FFB9C2CE"/>
      </font>
      <fill>
        <patternFill patternType="solid">
          <bgColor rgb="FFF9FAFB"/>
        </patternFill>
      </fill>
    </dxf>
    <dxf>
      <font>
        <color rgb="FFB9C2CE"/>
      </font>
      <fill>
        <patternFill patternType="solid">
          <bgColor rgb="FFF9FAFB"/>
        </patternFill>
      </fill>
    </dxf>
    <dxf>
      <font>
        <color rgb="FFB9C2CE"/>
      </font>
      <fill>
        <patternFill patternType="solid">
          <bgColor rgb="FFF9FAFB"/>
        </patternFill>
      </fill>
    </dxf>
    <dxf>
      <font>
        <color rgb="FFB9C2CE"/>
      </font>
      <fill>
        <patternFill patternType="solid">
          <bgColor rgb="FFF9FAFB"/>
        </patternFill>
      </fill>
    </dxf>
    <dxf>
      <font>
        <color rgb="FFB9C2CE"/>
      </font>
      <fill>
        <patternFill patternType="solid">
          <bgColor rgb="FFF9FAFB"/>
        </patternFill>
      </fill>
    </dxf>
    <dxf>
      <font>
        <color rgb="FFB9C2CE"/>
      </font>
      <fill>
        <patternFill patternType="solid">
          <bgColor rgb="FFF9FAF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64"/>
  <sheetViews>
    <sheetView workbookViewId="0" showGridLines="0"/>
  </sheetViews>
  <sheetFormatPr defaultRowHeight="15" outlineLevelRow="0" outlineLevelCol="0" x14ac:dyDescent="55"/>
  <cols>
    <col min="1" max="1" width="3" customWidth="1"/>
    <col min="2" max="2" width="21" customWidth="1"/>
    <col min="4" max="4" width="26" customWidth="1"/>
    <col min="5" max="11" width="10" customWidth="1"/>
    <col min="12" max="12" width="11" customWidth="1"/>
    <col min="13" max="13" width="3" customWidth="1"/>
  </cols>
  <sheetData>
    <row r="1" ht="26" customHeight="1" spans="2:2" x14ac:dyDescent="0.25">
      <c r="B1" s="1" t="s">
        <v>0</v>
      </c>
    </row>
    <row r="2" spans="2:2" x14ac:dyDescent="0.25">
      <c r="B2" s="2" t="s">
        <v>1</v>
      </c>
    </row>
    <row r="4" ht="20" customHeight="1" spans="2:12" x14ac:dyDescent="0.25">
      <c r="B4" s="3" t="s">
        <v>2</v>
      </c>
      <c r="C4" s="4" t="s">
        <v>3</v>
      </c>
      <c r="D4" s="4"/>
      <c r="E4" s="4"/>
      <c r="F4" s="4"/>
      <c r="G4" s="4"/>
      <c r="H4" s="4"/>
      <c r="I4" s="4"/>
      <c r="J4" s="4"/>
      <c r="K4" s="4"/>
      <c r="L4" s="4"/>
    </row>
    <row r="5" spans="3:11" x14ac:dyDescent="0.25">
      <c r="C5" s="5" t="s">
        <v>4</v>
      </c>
      <c r="D5" s="5" t="s">
        <v>5</v>
      </c>
      <c r="E5" s="5" t="s">
        <v>6</v>
      </c>
      <c r="F5" s="5" t="s">
        <v>7</v>
      </c>
      <c r="G5" s="5" t="s">
        <v>8</v>
      </c>
      <c r="H5" s="5" t="s">
        <v>9</v>
      </c>
      <c r="I5" s="5" t="s">
        <v>10</v>
      </c>
      <c r="J5" s="5" t="s">
        <v>11</v>
      </c>
      <c r="K5" s="5" t="s">
        <v>12</v>
      </c>
    </row>
    <row r="6" spans="2:11" x14ac:dyDescent="0.25">
      <c r="B6" s="6" t="s">
        <v>13</v>
      </c>
      <c r="C6" s="7" t="s">
        <v>14</v>
      </c>
      <c r="D6" s="7" t="s">
        <v>15</v>
      </c>
      <c r="E6" s="8">
        <f>IF(PARAM!$C$6="H",IFERROR(VLOOKUP($D$6,SECT!$A:$G,2,FALSE),""),IFERROR(VLOOKUP($D$6,TUBE!$A:$G,2,FALSE),""))</f>
        <v>300</v>
      </c>
      <c r="F6" s="8">
        <f>IF(PARAM!$C$6="H",IFERROR(VLOOKUP($D$6,SECT!$A:$G,3,FALSE),""),IFERROR(VLOOKUP($D$6,TUBE!$A:$G,3,FALSE),""))</f>
        <v>300</v>
      </c>
      <c r="G6" s="8">
        <f>IF(PARAM!$C$6="H",IFERROR(VLOOKUP($D$6,SECT!$A:$G,4,FALSE),""),IFERROR(VLOOKUP($D$6,TUBE!$A:$G,4,FALSE),""))</f>
        <v>10</v>
      </c>
      <c r="H6" s="8">
        <f>IF(PARAM!$C$6="H",IFERROR(VLOOKUP($D$6,SECT!$A:$G,5,FALSE),""),IFERROR(VLOOKUP($D$6,TUBE!$A:$G,5,FALSE),""))</f>
        <v>15</v>
      </c>
      <c r="I6" s="8">
        <f>IF(PARAM!$C$6="H",IFERROR(VLOOKUP($D$6,SECT!$A:$G,6,FALSE),""),IFERROR(VLOOKUP($D$6,TUBE!$A:$G,6,FALSE),""))</f>
        <v>18</v>
      </c>
      <c r="J6" s="7">
        <v>0</v>
      </c>
      <c r="K6" s="9">
        <f>IF(PARAM!$C$6="H",IFERROR(VLOOKUP($D$6,SECT!$A:$G,7,FALSE),""),IFERROR(VLOOKUP($D$6,TUBE!$A:$G,7,FALSE),""))</f>
        <v>94</v>
      </c>
    </row>
    <row r="7" spans="2:9" x14ac:dyDescent="0.25">
      <c r="B7" s="6" t="s">
        <v>16</v>
      </c>
      <c r="D7" s="10" t="s">
        <v>17</v>
      </c>
      <c r="E7" s="7">
        <v>700</v>
      </c>
      <c r="F7" s="10" t="s">
        <v>18</v>
      </c>
      <c r="G7" s="7">
        <v>1400</v>
      </c>
      <c r="H7" s="10" t="s">
        <v>19</v>
      </c>
      <c r="I7" s="7">
        <v>700</v>
      </c>
    </row>
    <row r="8" spans="2:12" x14ac:dyDescent="0.25">
      <c r="B8" s="6" t="s">
        <v>20</v>
      </c>
      <c r="C8" s="7" t="s">
        <v>21</v>
      </c>
      <c r="E8" s="11" t="s">
        <v>22</v>
      </c>
      <c r="F8" s="11"/>
      <c r="G8" s="11"/>
      <c r="H8" s="11"/>
      <c r="I8" s="11"/>
      <c r="J8" s="11"/>
      <c r="K8" s="11"/>
      <c r="L8" s="11"/>
    </row>
    <row r="9" spans="2:12" x14ac:dyDescent="0.25">
      <c r="B9" s="12" t="s">
        <v>23</v>
      </c>
      <c r="C9" s="12"/>
      <c r="D9" s="12"/>
      <c r="E9" s="12"/>
      <c r="F9" s="12"/>
      <c r="G9" s="12"/>
      <c r="H9" s="12"/>
      <c r="I9" s="12"/>
      <c r="J9" s="12"/>
      <c r="K9" s="12"/>
      <c r="L9" s="12"/>
    </row>
    <row r="10" spans="2:12" x14ac:dyDescent="0.25">
      <c r="B10" s="12" t="s">
        <v>24</v>
      </c>
      <c r="C10" s="12"/>
      <c r="D10" s="12"/>
      <c r="E10" s="12"/>
      <c r="F10" s="12"/>
      <c r="G10" s="12"/>
      <c r="H10" s="12"/>
      <c r="I10" s="12"/>
      <c r="J10" s="12"/>
      <c r="K10" s="12"/>
      <c r="L10" s="12"/>
    </row>
    <row r="11" spans="2:8" x14ac:dyDescent="0.25">
      <c r="B11" s="11" t="s">
        <v>25</v>
      </c>
      <c r="C11" s="13" t="s">
        <v>26</v>
      </c>
      <c r="D11" s="11" t="str">
        <f>IF(PARAM!$E$6="","fill in the dimensions","ok")</f>
        <v>ok</v>
      </c>
      <c r="E11" s="13" t="s">
        <v>27</v>
      </c>
      <c r="F11" s="11" t="str">
        <f>(IF(PARAM!$E$7&gt;0,1,0)+IF(PARAM!$I$7&gt;0,1,0))&amp;" of 2"</f>
        <v>2 of 2</v>
      </c>
      <c r="G11" s="13" t="s">
        <v>28</v>
      </c>
      <c r="H11" s="11" t="str">
        <f>IF(PARAM!$C$6="H",IF(MOD(PARAM!$J$6,180)=0,"X","Y"),"all four alike")</f>
        <v>X</v>
      </c>
    </row>
    <row r="13" ht="20" customHeight="1" spans="2:12" x14ac:dyDescent="0.25">
      <c r="B13" s="3" t="s">
        <v>29</v>
      </c>
      <c r="C13" s="4" t="s">
        <v>30</v>
      </c>
      <c r="D13" s="4"/>
      <c r="E13" s="4"/>
      <c r="F13" s="4"/>
      <c r="G13" s="4"/>
      <c r="H13" s="4"/>
      <c r="I13" s="4"/>
      <c r="J13" s="4"/>
      <c r="K13" s="4"/>
      <c r="L13" s="4"/>
    </row>
    <row r="14" spans="5:10" x14ac:dyDescent="0.25">
      <c r="E14" s="5" t="s">
        <v>31</v>
      </c>
      <c r="F14" s="5" t="s">
        <v>16</v>
      </c>
      <c r="G14" s="5" t="s">
        <v>32</v>
      </c>
      <c r="H14" s="5" t="s">
        <v>33</v>
      </c>
      <c r="I14" s="5" t="s">
        <v>34</v>
      </c>
      <c r="J14" s="5" t="s">
        <v>35</v>
      </c>
    </row>
    <row r="15" spans="2:11" x14ac:dyDescent="0.25">
      <c r="B15" s="6" t="s">
        <v>36</v>
      </c>
      <c r="E15" s="7">
        <v>300</v>
      </c>
      <c r="F15" s="7">
        <v>330</v>
      </c>
      <c r="G15" s="7">
        <v>12</v>
      </c>
      <c r="H15" s="14">
        <v>2</v>
      </c>
      <c r="I15" s="7" t="s">
        <v>21</v>
      </c>
      <c r="J15" s="7">
        <v>10</v>
      </c>
      <c r="K15" s="15" t="s">
        <v>37</v>
      </c>
    </row>
    <row r="16" spans="2:11" x14ac:dyDescent="0.25">
      <c r="B16" s="6" t="s">
        <v>38</v>
      </c>
      <c r="E16" s="7">
        <v>110</v>
      </c>
      <c r="F16" s="7">
        <v>330</v>
      </c>
      <c r="G16" s="7">
        <v>10</v>
      </c>
      <c r="H16" s="14">
        <v>4</v>
      </c>
      <c r="I16" s="7" t="s">
        <v>21</v>
      </c>
      <c r="K16" s="15" t="s">
        <v>37</v>
      </c>
    </row>
    <row r="17" spans="2:11" x14ac:dyDescent="0.25">
      <c r="B17" s="6" t="s">
        <v>39</v>
      </c>
      <c r="E17" s="7">
        <v>234</v>
      </c>
      <c r="F17" s="7">
        <v>330</v>
      </c>
      <c r="G17" s="7">
        <v>10</v>
      </c>
      <c r="H17" s="14">
        <v>2</v>
      </c>
      <c r="I17" s="7" t="s">
        <v>21</v>
      </c>
      <c r="K17" s="15" t="s">
        <v>37</v>
      </c>
    </row>
    <row r="18" spans="2:11" x14ac:dyDescent="0.25">
      <c r="B18" s="16" t="s">
        <v>40</v>
      </c>
      <c r="E18" s="17">
        <f>PARAM!$E$6+2*PARAM!$J$18</f>
        <v>420</v>
      </c>
      <c r="F18" s="17">
        <f>PARAM!$F$6+2*PARAM!$J$18</f>
        <v>420</v>
      </c>
      <c r="G18" s="7">
        <v>20</v>
      </c>
      <c r="H18" s="14">
        <v>2</v>
      </c>
      <c r="I18" s="7" t="s">
        <v>21</v>
      </c>
      <c r="J18" s="7">
        <v>60</v>
      </c>
      <c r="K18" s="15" t="s">
        <v>41</v>
      </c>
    </row>
    <row r="19" spans="2:12" x14ac:dyDescent="0.25">
      <c r="B19" s="12" t="s">
        <v>42</v>
      </c>
      <c r="C19" s="12"/>
      <c r="D19" s="12"/>
      <c r="E19" s="12"/>
      <c r="F19" s="12"/>
      <c r="G19" s="12"/>
      <c r="H19" s="12"/>
      <c r="I19" s="12"/>
      <c r="J19" s="12"/>
      <c r="K19" s="12"/>
      <c r="L19" s="12"/>
    </row>
    <row r="20" spans="2:8" x14ac:dyDescent="0.25">
      <c r="B20" s="11" t="s">
        <v>25</v>
      </c>
      <c r="C20" s="13" t="s">
        <v>43</v>
      </c>
      <c r="D20" s="11" t="str">
        <f>IF(PARAM!$C$6="H","cover plates","end plate")</f>
        <v>cover plates</v>
      </c>
      <c r="E20" s="13" t="s">
        <v>44</v>
      </c>
      <c r="F20" s="11">
        <f>ROUND(IF(PARAM!$C$6="H",PARAM!$E$15*PARAM!$F$15*PARAM!$G$15*2+PARAM!$E$16*PARAM!$F$16*PARAM!$G$16*4+PARAM!$E$17*PARAM!$F$17*PARAM!$G$17*2,PARAM!$E$18*PARAM!$F$18*PARAM!$G$18*2)*7.85/1000000,1)</f>
        <v>42.2</v>
      </c>
      <c r="G20" s="13" t="s">
        <v>45</v>
      </c>
      <c r="H20" s="11" t="str">
        <f>IF(PARAM!$C$6="H",IF(AND(PARAM!$E$15&lt;=PARAM!$F$6,PARAM!$E$17&lt;=PARAM!$E$6-2*PARAM!$H$6-2*PARAM!$I$6),"ok",IF(PARAM!$E$15&gt;PARAM!$F$6,"flange plate too wide","web plate too deep")),"n/a")</f>
        <v>ok</v>
      </c>
    </row>
    <row r="22" ht="20" customHeight="1" spans="2:12" x14ac:dyDescent="0.25">
      <c r="B22" s="3" t="s">
        <v>46</v>
      </c>
      <c r="C22" s="4" t="s">
        <v>47</v>
      </c>
      <c r="D22" s="4"/>
      <c r="E22" s="4"/>
      <c r="F22" s="4"/>
      <c r="G22" s="4"/>
      <c r="H22" s="4"/>
      <c r="I22" s="4"/>
      <c r="J22" s="4"/>
      <c r="K22" s="4"/>
      <c r="L22" s="4"/>
    </row>
    <row r="23" spans="5:10" x14ac:dyDescent="0.25">
      <c r="E23" s="5" t="s">
        <v>48</v>
      </c>
      <c r="F23" s="5" t="s">
        <v>49</v>
      </c>
      <c r="G23" s="5" t="s">
        <v>50</v>
      </c>
      <c r="H23" s="5" t="s">
        <v>51</v>
      </c>
      <c r="I23" s="5" t="s">
        <v>52</v>
      </c>
      <c r="J23" s="5" t="s">
        <v>53</v>
      </c>
    </row>
    <row r="24" spans="2:10" x14ac:dyDescent="0.25">
      <c r="B24" s="6" t="s">
        <v>54</v>
      </c>
      <c r="E24" s="7">
        <v>16</v>
      </c>
      <c r="F24" s="17">
        <f>PARAM!$E$24+2</f>
        <v>18</v>
      </c>
      <c r="G24" s="7" t="s">
        <v>55</v>
      </c>
      <c r="H24" s="18">
        <f>IF(PARAM!$C$6="H",CEILING(PARAM!$G$15+PARAM!$H$6+PARAM!$G$16+1.1*PARAM!$E$24,5),"—")</f>
        <v>55</v>
      </c>
      <c r="I24" s="18">
        <f>IF(PARAM!$C$6="H",CEILING(PARAM!$G$6+2*PARAM!$G$17+1.1*PARAM!$E$24,5),"—")</f>
        <v>50</v>
      </c>
      <c r="J24" s="18" t="str">
        <f>IF(PARAM!$C$6="H","—",CEILING(2*PARAM!$G$18+1.1*PARAM!$E$24,5))</f>
        <v>—</v>
      </c>
    </row>
    <row r="25" spans="2:10" x14ac:dyDescent="0.25">
      <c r="B25" s="19" t="s">
        <v>56</v>
      </c>
      <c r="E25" s="5" t="s">
        <v>57</v>
      </c>
      <c r="F25" s="5" t="s">
        <v>58</v>
      </c>
      <c r="G25" s="5" t="s">
        <v>59</v>
      </c>
      <c r="H25" s="5" t="s">
        <v>60</v>
      </c>
      <c r="I25" s="5" t="s">
        <v>58</v>
      </c>
      <c r="J25" s="5" t="s">
        <v>59</v>
      </c>
    </row>
    <row r="26" spans="2:10" x14ac:dyDescent="0.25">
      <c r="B26" s="6" t="s">
        <v>61</v>
      </c>
      <c r="E26" s="7">
        <v>4</v>
      </c>
      <c r="F26" s="7">
        <v>70</v>
      </c>
      <c r="G26" s="7">
        <v>45</v>
      </c>
      <c r="H26" s="7">
        <v>4</v>
      </c>
      <c r="I26" s="7">
        <v>100</v>
      </c>
      <c r="J26" s="7">
        <v>40</v>
      </c>
    </row>
    <row r="27" spans="2:10" x14ac:dyDescent="0.25">
      <c r="B27" s="6" t="s">
        <v>62</v>
      </c>
      <c r="E27" s="7">
        <v>4</v>
      </c>
      <c r="F27" s="7">
        <v>60</v>
      </c>
      <c r="G27" s="7">
        <v>45</v>
      </c>
      <c r="H27" s="7">
        <v>3</v>
      </c>
      <c r="I27" s="7">
        <v>0</v>
      </c>
      <c r="J27" s="7">
        <v>40</v>
      </c>
    </row>
    <row r="28" spans="5:9" x14ac:dyDescent="0.25">
      <c r="E28" s="5" t="s">
        <v>63</v>
      </c>
      <c r="F28" s="5" t="s">
        <v>59</v>
      </c>
      <c r="H28" s="5" t="s">
        <v>64</v>
      </c>
      <c r="I28" s="5" t="s">
        <v>59</v>
      </c>
    </row>
    <row r="29" spans="2:9" x14ac:dyDescent="0.25">
      <c r="B29" s="16" t="s">
        <v>40</v>
      </c>
      <c r="E29" s="7">
        <v>3</v>
      </c>
      <c r="F29" s="7">
        <v>30</v>
      </c>
      <c r="H29" s="7">
        <v>3</v>
      </c>
      <c r="I29" s="7">
        <v>30</v>
      </c>
    </row>
    <row r="30" spans="2:12" x14ac:dyDescent="0.25">
      <c r="B30" s="12" t="s">
        <v>65</v>
      </c>
      <c r="C30" s="12"/>
      <c r="D30" s="12"/>
      <c r="E30" s="12"/>
      <c r="F30" s="12"/>
      <c r="G30" s="12"/>
      <c r="H30" s="12"/>
      <c r="I30" s="12"/>
      <c r="J30" s="12"/>
      <c r="K30" s="12"/>
      <c r="L30" s="12"/>
    </row>
    <row r="31" spans="2:8" x14ac:dyDescent="0.25">
      <c r="B31" s="11" t="s">
        <v>25</v>
      </c>
      <c r="C31" s="13" t="s">
        <v>66</v>
      </c>
      <c r="D31" s="11" t="str">
        <f>IF(PARAM!$C$6="H",ROUND((PARAM!$F$15/2-PARAM!$G$26-PARAM!$F$26/2)/(PARAM!$E$26/2-1),1)&amp;" / "&amp;ROUND((PARAM!$E$15/2-PARAM!$J$26-PARAM!$I$26/2)/(PARAM!$H$26/2-1),1),"n/a")</f>
        <v>85 / 60</v>
      </c>
      <c r="E31" s="13" t="s">
        <v>67</v>
      </c>
      <c r="F31" s="11" t="str">
        <f>IF(PARAM!$C$6="H",ROUND((PARAM!$F$17/2-PARAM!$G$27-PARAM!$F$27/2)/(PARAM!$E$27/2-1),1)&amp;" / "&amp;ROUND((PARAM!$E$17-2*PARAM!$J$27-PARAM!$I$27)/(PARAM!$H$27-1),1),"n/a")</f>
        <v>90 / 77</v>
      </c>
      <c r="G31" s="13" t="s">
        <v>68</v>
      </c>
      <c r="H31" s="11" t="str">
        <f>IF(PARAM!$C$6="H",2*PARAM!$E$26*PARAM!$H$26+PARAM!$E$27*PARAM!$H$27,2*PARAM!$E$29+2*MAX(0,PARAM!$H$29-2))&amp;" per splice"</f>
        <v>44 per splice</v>
      </c>
    </row>
    <row r="33" ht="20" customHeight="1" spans="2:12" x14ac:dyDescent="0.25">
      <c r="B33" s="3" t="s">
        <v>69</v>
      </c>
      <c r="C33" s="4" t="s">
        <v>70</v>
      </c>
      <c r="D33" s="4"/>
      <c r="E33" s="4"/>
      <c r="F33" s="4"/>
      <c r="G33" s="4"/>
      <c r="H33" s="4"/>
      <c r="I33" s="4"/>
      <c r="J33" s="4"/>
      <c r="K33" s="4"/>
      <c r="L33" s="4"/>
    </row>
    <row r="34" spans="3:11" x14ac:dyDescent="0.25">
      <c r="C34" s="5" t="s">
        <v>71</v>
      </c>
      <c r="D34" s="5" t="s">
        <v>5</v>
      </c>
      <c r="E34" s="5" t="s">
        <v>6</v>
      </c>
      <c r="F34" s="5" t="s">
        <v>7</v>
      </c>
      <c r="G34" s="5" t="s">
        <v>72</v>
      </c>
      <c r="H34" s="5" t="s">
        <v>9</v>
      </c>
      <c r="I34" s="5" t="s">
        <v>10</v>
      </c>
      <c r="J34" s="5" t="s">
        <v>16</v>
      </c>
      <c r="K34" s="5" t="s">
        <v>12</v>
      </c>
    </row>
    <row r="35" spans="2:11" x14ac:dyDescent="0.25">
      <c r="B35" s="6" t="s">
        <v>73</v>
      </c>
      <c r="C35" s="7" t="s">
        <v>74</v>
      </c>
      <c r="D35" s="7" t="s">
        <v>75</v>
      </c>
      <c r="E35" s="8">
        <f>IFERROR(VLOOKUP($D$35,SECT!$A:$G,2,FALSE),"")</f>
        <v>300</v>
      </c>
      <c r="F35" s="8">
        <f>IFERROR(VLOOKUP($D$35,SECT!$A:$G,3,FALSE),"")</f>
        <v>150</v>
      </c>
      <c r="G35" s="8">
        <f>IFERROR(VLOOKUP($D$35,SECT!$A:$G,4,FALSE),"")</f>
        <v>6.5</v>
      </c>
      <c r="H35" s="8">
        <f>IFERROR(VLOOKUP($D$35,SECT!$A:$G,5,FALSE),"")</f>
        <v>9</v>
      </c>
      <c r="I35" s="8">
        <f>IFERROR(VLOOKUP($D$35,SECT!$A:$G,6,FALSE),"")</f>
        <v>13</v>
      </c>
      <c r="J35" s="7">
        <v>900</v>
      </c>
      <c r="K35" s="9">
        <f>IFERROR(VLOOKUP($D$35,SECT!$A:$G,7,FALSE),"")</f>
        <v>36.7</v>
      </c>
    </row>
    <row r="36" spans="2:11" x14ac:dyDescent="0.25">
      <c r="B36" s="6" t="s">
        <v>76</v>
      </c>
      <c r="C36" s="7" t="s">
        <v>77</v>
      </c>
      <c r="D36" s="7" t="s">
        <v>75</v>
      </c>
      <c r="E36" s="8">
        <f>IFERROR(VLOOKUP($D$36,SECT!$A:$G,2,FALSE),"")</f>
        <v>300</v>
      </c>
      <c r="F36" s="8">
        <f>IFERROR(VLOOKUP($D$36,SECT!$A:$G,3,FALSE),"")</f>
        <v>150</v>
      </c>
      <c r="G36" s="8">
        <f>IFERROR(VLOOKUP($D$36,SECT!$A:$G,4,FALSE),"")</f>
        <v>6.5</v>
      </c>
      <c r="H36" s="8">
        <f>IFERROR(VLOOKUP($D$36,SECT!$A:$G,5,FALSE),"")</f>
        <v>9</v>
      </c>
      <c r="I36" s="8">
        <f>IFERROR(VLOOKUP($D$36,SECT!$A:$G,6,FALSE),"")</f>
        <v>13</v>
      </c>
      <c r="J36" s="7">
        <v>900</v>
      </c>
      <c r="K36" s="9">
        <f>IFERROR(VLOOKUP($D$36,SECT!$A:$G,7,FALSE),"")</f>
        <v>36.7</v>
      </c>
    </row>
    <row r="37" spans="2:11" x14ac:dyDescent="0.25">
      <c r="B37" s="6" t="s">
        <v>78</v>
      </c>
      <c r="C37" s="7" t="s">
        <v>77</v>
      </c>
      <c r="D37" s="7" t="s">
        <v>75</v>
      </c>
      <c r="E37" s="8">
        <f>IFERROR(VLOOKUP($D$37,SECT!$A:$G,2,FALSE),"")</f>
        <v>300</v>
      </c>
      <c r="F37" s="8">
        <f>IFERROR(VLOOKUP($D$37,SECT!$A:$G,3,FALSE),"")</f>
        <v>150</v>
      </c>
      <c r="G37" s="8">
        <f>IFERROR(VLOOKUP($D$37,SECT!$A:$G,4,FALSE),"")</f>
        <v>6.5</v>
      </c>
      <c r="H37" s="8">
        <f>IFERROR(VLOOKUP($D$37,SECT!$A:$G,5,FALSE),"")</f>
        <v>9</v>
      </c>
      <c r="I37" s="8">
        <f>IFERROR(VLOOKUP($D$37,SECT!$A:$G,6,FALSE),"")</f>
        <v>13</v>
      </c>
      <c r="J37" s="7">
        <v>900</v>
      </c>
      <c r="K37" s="9">
        <f>IFERROR(VLOOKUP($D$37,SECT!$A:$G,7,FALSE),"")</f>
        <v>36.7</v>
      </c>
    </row>
    <row r="38" spans="2:11" x14ac:dyDescent="0.25">
      <c r="B38" s="16" t="s">
        <v>79</v>
      </c>
      <c r="C38" s="7" t="s">
        <v>77</v>
      </c>
      <c r="D38" s="7" t="s">
        <v>75</v>
      </c>
      <c r="E38" s="8">
        <f>IFERROR(VLOOKUP($D$38,SECT!$A:$G,2,FALSE),"")</f>
        <v>300</v>
      </c>
      <c r="F38" s="8">
        <f>IFERROR(VLOOKUP($D$38,SECT!$A:$G,3,FALSE),"")</f>
        <v>150</v>
      </c>
      <c r="G38" s="8">
        <f>IFERROR(VLOOKUP($D$38,SECT!$A:$G,4,FALSE),"")</f>
        <v>6.5</v>
      </c>
      <c r="H38" s="8">
        <f>IFERROR(VLOOKUP($D$38,SECT!$A:$G,5,FALSE),"")</f>
        <v>9</v>
      </c>
      <c r="I38" s="8">
        <f>IFERROR(VLOOKUP($D$38,SECT!$A:$G,6,FALSE),"")</f>
        <v>13</v>
      </c>
      <c r="J38" s="7">
        <v>0</v>
      </c>
      <c r="K38" s="9">
        <f>IFERROR(VLOOKUP($D$38,SECT!$A:$G,7,FALSE),"")</f>
        <v>36.7</v>
      </c>
    </row>
    <row r="39" spans="2:12" x14ac:dyDescent="0.25">
      <c r="B39" s="12" t="s">
        <v>80</v>
      </c>
      <c r="C39" s="12"/>
      <c r="D39" s="12"/>
      <c r="E39" s="12"/>
      <c r="F39" s="12"/>
      <c r="G39" s="12"/>
      <c r="H39" s="12"/>
      <c r="I39" s="12"/>
      <c r="J39" s="12"/>
      <c r="K39" s="12"/>
      <c r="L39" s="12"/>
    </row>
    <row r="40" spans="2:8" x14ac:dyDescent="0.25">
      <c r="B40" s="11" t="s">
        <v>25</v>
      </c>
      <c r="C40" s="13" t="s">
        <v>81</v>
      </c>
      <c r="D40" s="11" t="str">
        <f>IF(PARAM!$C$6="H",IF(MOD(PARAM!$J$6,180)=0,"flange","web"),"tube wall")</f>
        <v>flange</v>
      </c>
      <c r="E40" s="13" t="s">
        <v>82</v>
      </c>
      <c r="F40" s="11" t="str">
        <f>IF(PARAM!$C$6="H",IF(MOD(PARAM!$J$6,180)=0,"web","flange"),"tube wall")</f>
        <v>web</v>
      </c>
      <c r="G40" s="13" t="s">
        <v>83</v>
      </c>
      <c r="H40" s="11" t="str">
        <f>(IF(PARAM!$J$35&gt;0,1,0)+IF(PARAM!$J$36&gt;0,1,0)+IF(PARAM!$J$37&gt;0,1,0)+IF(PARAM!$J$38&gt;0,1,0))&amp;" of 4"</f>
        <v>3 of 4</v>
      </c>
    </row>
    <row r="42" ht="20" customHeight="1" spans="2:12" x14ac:dyDescent="0.25">
      <c r="B42" s="3" t="s">
        <v>84</v>
      </c>
      <c r="C42" s="4" t="s">
        <v>85</v>
      </c>
      <c r="D42" s="4"/>
      <c r="E42" s="4"/>
      <c r="F42" s="4"/>
      <c r="G42" s="4"/>
      <c r="H42" s="4"/>
      <c r="I42" s="4"/>
      <c r="J42" s="4"/>
      <c r="K42" s="4"/>
      <c r="L42" s="4"/>
    </row>
    <row r="43" spans="3:12" x14ac:dyDescent="0.25">
      <c r="C43" s="5" t="s">
        <v>4</v>
      </c>
      <c r="D43" s="5" t="s">
        <v>86</v>
      </c>
      <c r="E43" s="5" t="s">
        <v>87</v>
      </c>
      <c r="F43" s="5" t="s">
        <v>88</v>
      </c>
      <c r="G43" s="5" t="s">
        <v>89</v>
      </c>
      <c r="H43" s="5" t="s">
        <v>90</v>
      </c>
      <c r="I43" s="5" t="s">
        <v>91</v>
      </c>
      <c r="J43" s="5" t="s">
        <v>92</v>
      </c>
      <c r="K43" s="5" t="s">
        <v>93</v>
      </c>
      <c r="L43" s="5" t="s">
        <v>94</v>
      </c>
    </row>
    <row r="44" spans="2:12" x14ac:dyDescent="0.25">
      <c r="B44" s="6" t="s">
        <v>74</v>
      </c>
      <c r="C44" s="7" t="s">
        <v>95</v>
      </c>
      <c r="D44" s="20" t="s">
        <v>96</v>
      </c>
      <c r="E44" s="8">
        <v>0</v>
      </c>
      <c r="F44" s="8">
        <v>230</v>
      </c>
      <c r="G44" s="17">
        <f>K44*(L44-1)+2*J44</f>
        <v>230</v>
      </c>
      <c r="H44" s="8">
        <v>20</v>
      </c>
      <c r="I44" s="8">
        <v>140</v>
      </c>
      <c r="J44" s="8">
        <v>45</v>
      </c>
      <c r="K44" s="8">
        <v>70</v>
      </c>
      <c r="L44" s="8">
        <v>3</v>
      </c>
    </row>
    <row r="45" spans="2:12" x14ac:dyDescent="0.25">
      <c r="B45" s="6" t="s">
        <v>97</v>
      </c>
      <c r="C45" s="7" t="s">
        <v>95</v>
      </c>
      <c r="D45" s="20" t="s">
        <v>98</v>
      </c>
      <c r="E45" s="8">
        <v>0</v>
      </c>
      <c r="F45" s="8">
        <v>230</v>
      </c>
      <c r="G45" s="17">
        <f>K45*(L45-1)+2*J45</f>
        <v>300</v>
      </c>
      <c r="H45" s="8">
        <v>20</v>
      </c>
      <c r="I45" s="8">
        <v>140</v>
      </c>
      <c r="J45" s="8">
        <v>45</v>
      </c>
      <c r="K45" s="8">
        <v>70</v>
      </c>
      <c r="L45" s="8">
        <v>4</v>
      </c>
    </row>
    <row r="46" spans="2:12" x14ac:dyDescent="0.25">
      <c r="B46" s="6" t="s">
        <v>77</v>
      </c>
      <c r="C46" s="7" t="s">
        <v>99</v>
      </c>
      <c r="D46" s="20" t="s">
        <v>100</v>
      </c>
      <c r="E46" s="8">
        <v>10</v>
      </c>
      <c r="F46" s="8">
        <v>140</v>
      </c>
      <c r="G46" s="17">
        <f>K46*(L46-1)+2*J46</f>
        <v>230</v>
      </c>
      <c r="H46" s="8">
        <v>10</v>
      </c>
      <c r="I46" s="8">
        <v>60</v>
      </c>
      <c r="J46" s="8">
        <v>45</v>
      </c>
      <c r="K46" s="8">
        <v>70</v>
      </c>
      <c r="L46" s="8">
        <v>3</v>
      </c>
    </row>
    <row r="47" spans="2:12" x14ac:dyDescent="0.25">
      <c r="B47" s="6" t="s">
        <v>101</v>
      </c>
      <c r="C47" s="7" t="s">
        <v>99</v>
      </c>
      <c r="D47" s="20" t="s">
        <v>102</v>
      </c>
      <c r="E47" s="8">
        <v>10</v>
      </c>
      <c r="F47" s="8">
        <v>140</v>
      </c>
      <c r="G47" s="17">
        <f>K47*(L47-1)+2*J47</f>
        <v>300</v>
      </c>
      <c r="H47" s="8">
        <v>10</v>
      </c>
      <c r="I47" s="8">
        <v>60</v>
      </c>
      <c r="J47" s="8">
        <v>45</v>
      </c>
      <c r="K47" s="8">
        <v>70</v>
      </c>
      <c r="L47" s="8">
        <v>4</v>
      </c>
    </row>
    <row r="48" spans="2:12" x14ac:dyDescent="0.25">
      <c r="B48" s="6" t="s">
        <v>103</v>
      </c>
      <c r="C48" s="7" t="s">
        <v>99</v>
      </c>
      <c r="D48" s="20" t="s">
        <v>104</v>
      </c>
      <c r="E48" s="8">
        <v>10</v>
      </c>
      <c r="F48" s="8">
        <v>120</v>
      </c>
      <c r="G48" s="17">
        <f>K48*(L48-1)+2*J48</f>
        <v>140</v>
      </c>
      <c r="H48" s="8">
        <v>9</v>
      </c>
      <c r="I48" s="8">
        <v>55</v>
      </c>
      <c r="J48" s="8">
        <v>40</v>
      </c>
      <c r="K48" s="8">
        <v>60</v>
      </c>
      <c r="L48" s="8">
        <v>2</v>
      </c>
    </row>
    <row r="49" spans="2:12" x14ac:dyDescent="0.25">
      <c r="B49" s="16" t="s">
        <v>105</v>
      </c>
      <c r="C49" s="7"/>
      <c r="D49" s="20" t="s">
        <v>106</v>
      </c>
      <c r="E49" s="8">
        <v>0</v>
      </c>
      <c r="F49" s="8">
        <v>0</v>
      </c>
      <c r="G49" s="17">
        <f>K49*(L49-1)+2*J49</f>
        <v>0</v>
      </c>
      <c r="H49" s="8">
        <v>0</v>
      </c>
      <c r="I49" s="8">
        <v>0</v>
      </c>
      <c r="J49" s="8">
        <v>0</v>
      </c>
      <c r="K49" s="8">
        <v>0</v>
      </c>
      <c r="L49" s="8">
        <v>0</v>
      </c>
    </row>
    <row r="50" spans="2:12" x14ac:dyDescent="0.25">
      <c r="B50" s="12" t="s">
        <v>107</v>
      </c>
      <c r="C50" s="12"/>
      <c r="D50" s="12"/>
      <c r="E50" s="12"/>
      <c r="F50" s="12"/>
      <c r="G50" s="12"/>
      <c r="H50" s="12"/>
      <c r="I50" s="12"/>
      <c r="J50" s="12"/>
      <c r="K50" s="12"/>
      <c r="L50" s="12"/>
    </row>
    <row r="51" spans="2:10" x14ac:dyDescent="0.25">
      <c r="B51" s="11" t="s">
        <v>25</v>
      </c>
      <c r="C51" s="13" t="s">
        <v>108</v>
      </c>
      <c r="D51" s="11" t="str">
        <f>IF(COUNTIF(PARAM!$B$44:$B$49,PARAM!$C$35)+COUNTIF(PARAM!$B$44:$B$49,PARAM!$C$36)+COUNTIF(PARAM!$B$44:$B$49,PARAM!$C$37)+COUNTIF(PARAM!$B$44:$B$49,PARAM!$C$38)=4,"all 4 beams found theirs","a beam names a mark that is not in the list")</f>
        <v>all 4 beams found theirs</v>
      </c>
      <c r="E51" s="13" t="s">
        <v>109</v>
      </c>
      <c r="F51" s="11" t="str">
        <f>IF(NOT(PARAM!$C$6="H"),"n/a",IF(SUMPRODUCT(MAX((PARAM!$C$44:$C$49="end plate")*(PARAM!$F$44:$F$49)))&lt;=PARAM!$E$6-2*PARAM!$H$6-2*PARAM!$I$6,"fits between the flanges","hits the flanges on a web face"))</f>
        <v>fits between the flanges</v>
      </c>
      <c r="G51" s="13" t="s">
        <v>110</v>
      </c>
      <c r="H51" s="11" t="str">
        <f>"M"&amp;PARAM!$E$24&amp;" L"&amp;MAX(IF(IFERROR(VLOOKUP(PARAM!$C$35,PARAM!$B$44:$K$49,2,FALSE),"")="end plate",CEILING(IF(PARAM!$C$6="H",IF(MOD(PARAM!$J$6,180)=0,PARAM!$H$6,PARAM!$G$6)+IFERROR(VLOOKUP(PARAM!$C$35,PARAM!$B$44:$K$49,7,FALSE),0),2*IFERROR(VLOOKUP(PARAM!$C$35,PARAM!$B$44:$K$49,7,FALSE),0))+1.1*PARAM!$E$24,5),IF(IFERROR(VLOOKUP(PARAM!$C$35,PARAM!$B$44:$K$49,2,FALSE),"")="fin plate",CEILING(IFERROR(VLOOKUP(PARAM!$C$35,PARAM!$B$44:$K$49,7,FALSE),0)+PARAM!$G$35+1.1*PARAM!$E$24,5),0)),IF(IFERROR(VLOOKUP(PARAM!$C$36,PARAM!$B$44:$K$49,2,FALSE),"")="end plate",CEILING(IF(PARAM!$C$6="H",IF(MOD(PARAM!$J$6,180)=0,PARAM!$H$6,PARAM!$G$6)+IFERROR(VLOOKUP(PARAM!$C$36,PARAM!$B$44:$K$49,7,FALSE),0),2*IFERROR(VLOOKUP(PARAM!$C$36,PARAM!$B$44:$K$49,7,FALSE),0))+1.1*PARAM!$E$24,5),IF(IFERROR(VLOOKUP(PARAM!$C$36,PARAM!$B$44:$K$49,2,FALSE),"")="fin plate",CEILING(IFERROR(VLOOKUP(PARAM!$C$36,PARAM!$B$44:$K$49,7,FALSE),0)+PARAM!$G$36+1.1*PARAM!$E$24,5),0)),IF(IFERROR(VLOOKUP(PARAM!$C$37,PARAM!$B$44:$K$49,2,FALSE),"")="end plate",CEILING(IF(PARAM!$C$6="H",IF(MOD(PARAM!$J$6,180)=0,PARAM!$G$6,PARAM!$H$6)+IFERROR(VLOOKUP(PARAM!$C$37,PARAM!$B$44:$K$49,7,FALSE),0),2*IFERROR(VLOOKUP(PARAM!$C$37,PARAM!$B$44:$K$49,7,FALSE),0))+1.1*PARAM!$E$24,5),IF(IFERROR(VLOOKUP(PARAM!$C$37,PARAM!$B$44:$K$49,2,FALSE),"")="fin plate",CEILING(IFERROR(VLOOKUP(PARAM!$C$37,PARAM!$B$44:$K$49,7,FALSE),0)+PARAM!$G$37+1.1*PARAM!$E$24,5),0)),IF(IFERROR(VLOOKUP(PARAM!$C$38,PARAM!$B$44:$K$49,2,FALSE),"")="end plate",CEILING(IF(PARAM!$C$6="H",IF(MOD(PARAM!$J$6,180)=0,PARAM!$G$6,PARAM!$H$6)+IFERROR(VLOOKUP(PARAM!$C$38,PARAM!$B$44:$K$49,7,FALSE),0),2*IFERROR(VLOOKUP(PARAM!$C$38,PARAM!$B$44:$K$49,7,FALSE),0))+1.1*PARAM!$E$24,5),IF(IFERROR(VLOOKUP(PARAM!$C$38,PARAM!$B$44:$K$49,2,FALSE),"")="fin plate",CEILING(IFERROR(VLOOKUP(PARAM!$C$38,PARAM!$B$44:$K$49,7,FALSE),0)+PARAM!$G$38+1.1*PARAM!$E$24,5),0)))</f>
        <v>M16 L55</v>
      </c>
      <c r="I51" s="13" t="s">
        <v>111</v>
      </c>
      <c r="J51" s="11" t="str">
        <f>IF(NOT(PARAM!$C$6="H"),"n/a",IF(MOD(PARAM!$J$6,180)=0,IF(MAX(PARAM!$F$37,PARAM!$F$38)&lt;=PARAM!$E$6-2*PARAM!$H$6-2*PARAM!$I$6,"ok","strip the beam flange"),IF(MAX(PARAM!$F$35,PARAM!$F$36)&lt;=PARAM!$E$6-2*PARAM!$H$6-2*PARAM!$I$6,"ok","strip the beam flange")))</f>
        <v>ok</v>
      </c>
    </row>
    <row r="53" ht="20" customHeight="1" spans="2:12" x14ac:dyDescent="0.25">
      <c r="B53" s="3" t="s">
        <v>112</v>
      </c>
      <c r="C53" s="4" t="s">
        <v>113</v>
      </c>
      <c r="D53" s="4"/>
      <c r="E53" s="4"/>
      <c r="F53" s="4"/>
      <c r="G53" s="4"/>
      <c r="H53" s="4"/>
      <c r="I53" s="4"/>
      <c r="J53" s="4"/>
      <c r="K53" s="4"/>
      <c r="L53" s="4"/>
    </row>
    <row r="54" spans="4:8" x14ac:dyDescent="0.25">
      <c r="D54" s="5" t="s">
        <v>114</v>
      </c>
      <c r="E54" s="5" t="s">
        <v>115</v>
      </c>
      <c r="F54" s="5" t="s">
        <v>88</v>
      </c>
      <c r="G54" s="5" t="s">
        <v>116</v>
      </c>
      <c r="H54" s="5" t="s">
        <v>90</v>
      </c>
    </row>
    <row r="55" spans="2:8" x14ac:dyDescent="0.25">
      <c r="B55" s="6" t="s">
        <v>117</v>
      </c>
      <c r="D55" s="20" t="s">
        <v>118</v>
      </c>
      <c r="E55" s="8">
        <v>145.5</v>
      </c>
      <c r="F55" s="8">
        <v>145</v>
      </c>
      <c r="G55" s="8">
        <v>270</v>
      </c>
      <c r="H55" s="8">
        <v>12</v>
      </c>
    </row>
    <row r="56" spans="2:8" x14ac:dyDescent="0.25">
      <c r="B56" s="6" t="s">
        <v>119</v>
      </c>
      <c r="D56" s="20" t="s">
        <v>120</v>
      </c>
      <c r="E56" s="8">
        <v>-145.5</v>
      </c>
      <c r="F56" s="8">
        <v>145</v>
      </c>
      <c r="G56" s="8">
        <v>270</v>
      </c>
      <c r="H56" s="8">
        <v>12</v>
      </c>
    </row>
    <row r="57" spans="2:8" x14ac:dyDescent="0.25">
      <c r="B57" s="16" t="s">
        <v>121</v>
      </c>
      <c r="D57" s="20"/>
      <c r="E57" s="8">
        <v>0</v>
      </c>
      <c r="F57" s="8">
        <v>0</v>
      </c>
      <c r="G57" s="8">
        <v>0</v>
      </c>
      <c r="H57" s="8">
        <v>0</v>
      </c>
    </row>
    <row r="58" spans="2:8" x14ac:dyDescent="0.25">
      <c r="B58" s="16" t="s">
        <v>122</v>
      </c>
      <c r="D58" s="20"/>
      <c r="E58" s="8">
        <v>0</v>
      </c>
      <c r="F58" s="8">
        <v>0</v>
      </c>
      <c r="G58" s="8">
        <v>0</v>
      </c>
      <c r="H58" s="8">
        <v>0</v>
      </c>
    </row>
    <row r="59" spans="2:8" x14ac:dyDescent="0.25">
      <c r="B59" s="16" t="s">
        <v>123</v>
      </c>
      <c r="D59" s="20"/>
      <c r="E59" s="8">
        <v>0</v>
      </c>
      <c r="F59" s="8">
        <v>0</v>
      </c>
      <c r="G59" s="8">
        <v>0</v>
      </c>
      <c r="H59" s="8">
        <v>0</v>
      </c>
    </row>
    <row r="60" spans="2:8" x14ac:dyDescent="0.25">
      <c r="B60" s="16" t="s">
        <v>124</v>
      </c>
      <c r="D60" s="20"/>
      <c r="E60" s="8">
        <v>0</v>
      </c>
      <c r="F60" s="8">
        <v>0</v>
      </c>
      <c r="G60" s="8">
        <v>0</v>
      </c>
      <c r="H60" s="8">
        <v>0</v>
      </c>
    </row>
    <row r="61" spans="2:8" x14ac:dyDescent="0.25">
      <c r="B61" s="16" t="s">
        <v>125</v>
      </c>
      <c r="D61" s="20"/>
      <c r="E61" s="8">
        <v>0</v>
      </c>
      <c r="F61" s="8">
        <v>0</v>
      </c>
      <c r="G61" s="8">
        <v>0</v>
      </c>
      <c r="H61" s="8">
        <v>0</v>
      </c>
    </row>
    <row r="62" spans="2:8" x14ac:dyDescent="0.25">
      <c r="B62" s="16" t="s">
        <v>126</v>
      </c>
      <c r="D62" s="20"/>
      <c r="E62" s="8">
        <v>0</v>
      </c>
      <c r="F62" s="8">
        <v>0</v>
      </c>
      <c r="G62" s="8">
        <v>0</v>
      </c>
      <c r="H62" s="8">
        <v>0</v>
      </c>
    </row>
    <row r="63" spans="2:12" x14ac:dyDescent="0.25">
      <c r="B63" s="12" t="s">
        <v>127</v>
      </c>
      <c r="C63" s="12"/>
      <c r="D63" s="12"/>
      <c r="E63" s="12"/>
      <c r="F63" s="12"/>
      <c r="G63" s="12"/>
      <c r="H63" s="12"/>
      <c r="I63" s="12"/>
      <c r="J63" s="12"/>
      <c r="K63" s="12"/>
      <c r="L63" s="12"/>
    </row>
    <row r="64" spans="2:8" x14ac:dyDescent="0.25">
      <c r="B64" s="11" t="s">
        <v>25</v>
      </c>
      <c r="C64" s="13" t="s">
        <v>128</v>
      </c>
      <c r="D64" s="11" t="str">
        <f>IF(PARAM!$C$6="H",IF($H$55&gt;0,2,0)+IF($H$56&gt;0,2,0)+IF($H$57&gt;0,2,0)+IF($H$58&gt;0,2,0)+IF($H$59&gt;0,2,0)+IF($H$60&gt;0,2,0)+IF($H$61&gt;0,2,0)+IF($H$62&gt;0,2,0),0)&amp;" of 16"</f>
        <v>4 of 16</v>
      </c>
      <c r="E64" s="13" t="s">
        <v>129</v>
      </c>
      <c r="F64" s="11" t="str">
        <f>IF(NOT(PARAM!$C$6="H"),"n/a",IF(MAX($F$55:$F$62)&gt;(PARAM!$F$6-PARAM!$G$6)/2,"too wide",IF(MAX($G$55:$G$62)&gt;PARAM!$E$6-2*PARAM!$H$6,"too deep","ok")))</f>
        <v>ok</v>
      </c>
      <c r="G64" s="13" t="s">
        <v>130</v>
      </c>
      <c r="H64" s="11" t="str">
        <f>ROUND((PARAM!$E$35-PARAM!$H$35)/2,1)&amp;" / "&amp;ROUND((PARAM!$E$36-PARAM!$H$36)/2,1)&amp;" / "&amp;ROUND((PARAM!$E$37-PARAM!$H$37)/2,1)&amp;" / "&amp;ROUND((PARAM!$E$38-PARAM!$H$38)/2,1)</f>
        <v>145.5 / 145.5 / 145.5 / 145.5</v>
      </c>
    </row>
  </sheetData>
  <mergeCells count="14">
    <mergeCell ref="C4:L4"/>
    <mergeCell ref="E8:L8"/>
    <mergeCell ref="B9:L9"/>
    <mergeCell ref="B10:L10"/>
    <mergeCell ref="C13:L13"/>
    <mergeCell ref="B19:L19"/>
    <mergeCell ref="C22:L22"/>
    <mergeCell ref="B30:L30"/>
    <mergeCell ref="C33:L33"/>
    <mergeCell ref="B39:L39"/>
    <mergeCell ref="C42:L42"/>
    <mergeCell ref="B50:L50"/>
    <mergeCell ref="C53:L53"/>
    <mergeCell ref="B63:L63"/>
  </mergeCells>
  <conditionalFormatting sqref="B15:K17">
    <cfRule type="expression" dxfId="0" priority="1">
      <formula>$C$6&lt;&gt;"H"</formula>
    </cfRule>
  </conditionalFormatting>
  <conditionalFormatting sqref="B26:K27">
    <cfRule type="expression" dxfId="1" priority="1">
      <formula>$C$6&lt;&gt;"H"</formula>
    </cfRule>
  </conditionalFormatting>
  <conditionalFormatting sqref="H24:I24">
    <cfRule type="expression" dxfId="2" priority="1">
      <formula>$C$6&lt;&gt;"H"</formula>
    </cfRule>
  </conditionalFormatting>
  <conditionalFormatting sqref="B18:K18">
    <cfRule type="expression" dxfId="3" priority="1">
      <formula>$C$6="H"</formula>
    </cfRule>
  </conditionalFormatting>
  <conditionalFormatting sqref="B28:K29">
    <cfRule type="expression" dxfId="4" priority="1">
      <formula>$C$6="H"</formula>
    </cfRule>
  </conditionalFormatting>
  <conditionalFormatting sqref="J24:J24">
    <cfRule type="expression" dxfId="5" priority="1">
      <formula>$C$6="H"</formula>
    </cfRule>
  </conditionalFormatting>
  <conditionalFormatting sqref="B55:K62">
    <cfRule type="expression" dxfId="6" priority="1">
      <formula>$C$6&lt;&gt;"H"</formula>
    </cfRule>
  </conditionalFormatting>
  <dataValidations count="7">
    <dataValidation type="list" showErrorMessage="1" error="Name one of the connections declared in chapter 5." sqref="C35:C38">
      <formula1>PARAM!$B$44:$B$49</formula1>
    </dataValidation>
    <dataValidation type="list" allowBlank="1" showErrorMessage="1" error="end plate bolts through the column; fin plate bolts through the beam web." sqref="C44:C49">
      <formula1>"end plate,fin plate"</formula1>
    </dataValidation>
    <dataValidation type="list" showErrorMessage="1" error="H for an I section, R for a square tube." sqref="C6">
      <formula1>"H,R"</formula1>
    </dataValidation>
    <dataValidation type="list" showErrorMessage="1" error="Pick an H section — a beam has to have a web to bolt through." sqref="D35:D38">
      <formula1>SECT!$A$2:$A$60</formula1>
    </dataValidation>
    <dataValidation type="list" showErrorMessage="1" error="Pick one from the list, or &quot;user define&quot; at the top of it." sqref="D6">
      <formula1>INDIRECT("SEC_"&amp;$C$6)</formula1>
    </dataValidation>
    <dataValidation type="list" sqref="G24">
      <formula1>"F8T,F10T,F13T"</formula1>
    </dataValidation>
    <dataValidation type="list" showErrorMessage="1" error="0, 90 or -90 degrees about the column axis." sqref="J6">
      <formula1>"0,90,-90"</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9"/>
  <sheetViews>
    <sheetView workbookViewId="0" showGridLines="0"/>
  </sheetViews>
  <sheetFormatPr defaultRowHeight="15" outlineLevelRow="0" outlineLevelCol="0" x14ac:dyDescent="55"/>
  <cols>
    <col min="1" max="1" width="50" customWidth="1"/>
    <col min="2" max="2" width="11" customWidth="1"/>
    <col min="3" max="3" width="12" customWidth="1"/>
    <col min="4" max="4" width="11" customWidth="1"/>
    <col min="5" max="5" width="10" customWidth="1"/>
  </cols>
  <sheetData>
    <row r="1" spans="1:1" x14ac:dyDescent="0.25">
      <c r="A1" s="12" t="s">
        <v>131</v>
      </c>
    </row>
    <row r="2" spans="2:3" x14ac:dyDescent="0.25">
      <c r="B2" s="21" t="s">
        <v>132</v>
      </c>
      <c r="C2" s="22" t="s">
        <v>133</v>
      </c>
    </row>
    <row r="3" spans="1:1" x14ac:dyDescent="0.25">
      <c r="A3" s="12" t="s">
        <v>134</v>
      </c>
    </row>
    <row r="4" spans="1:1" x14ac:dyDescent="0.25">
      <c r="A4" s="12" t="s">
        <v>135</v>
      </c>
    </row>
    <row r="5" spans="1:1" x14ac:dyDescent="0.25">
      <c r="A5" s="12" t="s">
        <v>136</v>
      </c>
    </row>
    <row r="6" spans="1:14" x14ac:dyDescent="0.25">
      <c r="A6" s="12" t="s">
        <v>17</v>
      </c>
      <c r="B6" s="21" t="s">
        <v>137</v>
      </c>
      <c r="C6" s="22" t="s">
        <v>138</v>
      </c>
      <c r="D6" s="22" t="str">
        <f>PARAM!$C$8</f>
        <v>SS275</v>
      </c>
      <c r="E6" s="22">
        <f>MAX(1,PARAM!$E$7)</f>
        <v>700</v>
      </c>
      <c r="F6" s="22" t="str">
        <f>IF(PARAM!$C$6="H","H","R")</f>
        <v>H</v>
      </c>
      <c r="G6" s="22" t="s">
        <v>139</v>
      </c>
      <c r="H6" s="22">
        <f>PARAM!$E$6</f>
        <v>300</v>
      </c>
      <c r="I6" s="22">
        <f>PARAM!$F$6</f>
        <v>300</v>
      </c>
      <c r="J6" s="22">
        <f>IF(PARAM!$C$6="H",PARAM!$F$6,PARAM!$G$6)</f>
        <v>300</v>
      </c>
      <c r="K6" s="22">
        <f>IF(PARAM!$C$6="H",PARAM!$G$6,PARAM!$I$6)</f>
        <v>10</v>
      </c>
      <c r="L6" s="22">
        <f>IF(PARAM!$C$6="H",PARAM!$H$6,"")</f>
        <v>15</v>
      </c>
      <c r="M6" s="22">
        <f>IF(PARAM!$C$6="H",PARAM!$H$6,"")</f>
        <v>15</v>
      </c>
      <c r="N6" s="22">
        <f>IF(PARAM!$C$6="H",PARAM!$I$6,"")</f>
        <v>18</v>
      </c>
    </row>
    <row r="7" spans="1:14" x14ac:dyDescent="0.25">
      <c r="A7" s="12" t="s">
        <v>18</v>
      </c>
      <c r="B7" s="21" t="s">
        <v>137</v>
      </c>
      <c r="C7" s="22" t="s">
        <v>140</v>
      </c>
      <c r="D7" s="22" t="str">
        <f>PARAM!$C$8</f>
        <v>SS275</v>
      </c>
      <c r="E7" s="22">
        <f>MAX(1,PARAM!$G$7)</f>
        <v>1400</v>
      </c>
      <c r="F7" s="22" t="str">
        <f>IF(PARAM!$C$6="H","H","R")</f>
        <v>H</v>
      </c>
      <c r="G7" s="22" t="s">
        <v>139</v>
      </c>
      <c r="H7" s="22">
        <f>PARAM!$E$6</f>
        <v>300</v>
      </c>
      <c r="I7" s="22">
        <f>PARAM!$F$6</f>
        <v>300</v>
      </c>
      <c r="J7" s="22">
        <f>IF(PARAM!$C$6="H",PARAM!$F$6,PARAM!$G$6)</f>
        <v>300</v>
      </c>
      <c r="K7" s="22">
        <f>IF(PARAM!$C$6="H",PARAM!$G$6,PARAM!$I$6)</f>
        <v>10</v>
      </c>
      <c r="L7" s="22">
        <f>IF(PARAM!$C$6="H",PARAM!$H$6,"")</f>
        <v>15</v>
      </c>
      <c r="M7" s="22">
        <f>IF(PARAM!$C$6="H",PARAM!$H$6,"")</f>
        <v>15</v>
      </c>
      <c r="N7" s="22">
        <f>IF(PARAM!$C$6="H",PARAM!$I$6,"")</f>
        <v>18</v>
      </c>
    </row>
    <row r="8" spans="1:14" x14ac:dyDescent="0.25">
      <c r="A8" s="12" t="s">
        <v>19</v>
      </c>
      <c r="B8" s="21" t="s">
        <v>137</v>
      </c>
      <c r="C8" s="22" t="s">
        <v>141</v>
      </c>
      <c r="D8" s="22" t="str">
        <f>PARAM!$C$8</f>
        <v>SS275</v>
      </c>
      <c r="E8" s="22">
        <f>MAX(1,PARAM!$I$7)</f>
        <v>700</v>
      </c>
      <c r="F8" s="22" t="str">
        <f>IF(PARAM!$C$6="H","H","R")</f>
        <v>H</v>
      </c>
      <c r="G8" s="22" t="s">
        <v>139</v>
      </c>
      <c r="H8" s="22">
        <f>PARAM!$E$6</f>
        <v>300</v>
      </c>
      <c r="I8" s="22">
        <f>PARAM!$F$6</f>
        <v>300</v>
      </c>
      <c r="J8" s="22">
        <f>IF(PARAM!$C$6="H",PARAM!$F$6,PARAM!$G$6)</f>
        <v>300</v>
      </c>
      <c r="K8" s="22">
        <f>IF(PARAM!$C$6="H",PARAM!$G$6,PARAM!$I$6)</f>
        <v>10</v>
      </c>
      <c r="L8" s="22">
        <f>IF(PARAM!$C$6="H",PARAM!$H$6,"")</f>
        <v>15</v>
      </c>
      <c r="M8" s="22">
        <f>IF(PARAM!$C$6="H",PARAM!$H$6,"")</f>
        <v>15</v>
      </c>
      <c r="N8" s="22">
        <f>IF(PARAM!$C$6="H",PARAM!$I$6,"")</f>
        <v>18</v>
      </c>
    </row>
    <row r="9" spans="1:1" x14ac:dyDescent="0.25">
      <c r="A9" s="12" t="s">
        <v>134</v>
      </c>
    </row>
    <row r="10" spans="1:1" x14ac:dyDescent="0.25">
      <c r="A10" s="12" t="s">
        <v>142</v>
      </c>
    </row>
    <row r="11" spans="1:9" x14ac:dyDescent="0.25">
      <c r="A11" s="12" t="s">
        <v>143</v>
      </c>
      <c r="B11" s="21" t="s">
        <v>144</v>
      </c>
      <c r="C11" s="22" t="s">
        <v>145</v>
      </c>
      <c r="D11" s="22" t="str">
        <f>PARAM!$C$8</f>
        <v>SS275</v>
      </c>
      <c r="E11" s="22">
        <f>IF(PARAM!$C$6="H",PARAM!$G$15,PARAM!$G$18)</f>
        <v>12</v>
      </c>
      <c r="F11" s="22" t="s">
        <v>146</v>
      </c>
      <c r="G11" s="22" t="s">
        <v>139</v>
      </c>
      <c r="H11" s="22">
        <f>IF(PARAM!$C$6="H",PARAM!$E$15,PARAM!$E$18)</f>
        <v>300</v>
      </c>
      <c r="I11" s="22">
        <f>IF(PARAM!$C$6="H",PARAM!$F$15,PARAM!$F$18)</f>
        <v>330</v>
      </c>
    </row>
    <row r="12" spans="1:9" x14ac:dyDescent="0.25">
      <c r="A12" s="12" t="s">
        <v>147</v>
      </c>
      <c r="B12" s="21" t="s">
        <v>144</v>
      </c>
      <c r="C12" s="22" t="s">
        <v>148</v>
      </c>
      <c r="D12" s="22" t="str">
        <f>PARAM!$C$8</f>
        <v>SS275</v>
      </c>
      <c r="E12" s="22">
        <f>PARAM!$G$16</f>
        <v>10</v>
      </c>
      <c r="F12" s="22" t="s">
        <v>146</v>
      </c>
      <c r="G12" s="22" t="s">
        <v>139</v>
      </c>
      <c r="H12" s="22">
        <f>PARAM!$E$16</f>
        <v>110</v>
      </c>
      <c r="I12" s="22">
        <f>PARAM!$F$16</f>
        <v>330</v>
      </c>
    </row>
    <row r="13" spans="1:9" x14ac:dyDescent="0.25">
      <c r="A13" s="12" t="s">
        <v>149</v>
      </c>
      <c r="B13" s="21" t="s">
        <v>144</v>
      </c>
      <c r="C13" s="22" t="s">
        <v>150</v>
      </c>
      <c r="D13" s="22" t="str">
        <f>PARAM!$C$8</f>
        <v>SS275</v>
      </c>
      <c r="E13" s="22">
        <f>PARAM!$G$17</f>
        <v>10</v>
      </c>
      <c r="F13" s="22" t="s">
        <v>146</v>
      </c>
      <c r="G13" s="22" t="s">
        <v>139</v>
      </c>
      <c r="H13" s="22">
        <f>PARAM!$E$17</f>
        <v>234</v>
      </c>
      <c r="I13" s="22">
        <f>PARAM!$F$17</f>
        <v>330</v>
      </c>
    </row>
    <row r="14" spans="1:12" x14ac:dyDescent="0.25">
      <c r="A14" s="12" t="s">
        <v>151</v>
      </c>
      <c r="B14" s="21" t="s">
        <v>152</v>
      </c>
      <c r="C14" s="22" t="s">
        <v>153</v>
      </c>
      <c r="D14" s="22" t="str">
        <f>PARAM!$G$24</f>
        <v>F10T</v>
      </c>
      <c r="E14" s="22">
        <f>PARAM!$E$24</f>
        <v>16</v>
      </c>
      <c r="F14" s="22">
        <f>IF(PARAM!$C$6="H",PARAM!$H$24,PARAM!$J$24)</f>
        <v>55</v>
      </c>
      <c r="G14" s="22">
        <f>PARAM!$F$24</f>
        <v>18</v>
      </c>
      <c r="H14" s="22"/>
      <c r="I14" s="22"/>
      <c r="J14" s="22"/>
      <c r="K14" s="22">
        <f>0.9*PARAM!$E$24</f>
        <v>14.4</v>
      </c>
      <c r="L14" s="22">
        <f>IF(PARAM!$C$6="H",PARAM!$H$24-PARAM!$G$15-PARAM!$H$6-PARAM!$G$16,PARAM!$J$24-2*PARAM!$G$18)-0.9*PARAM!$E$24</f>
        <v>3.6</v>
      </c>
    </row>
    <row r="15" spans="1:12" x14ac:dyDescent="0.25">
      <c r="A15" s="12" t="s">
        <v>154</v>
      </c>
      <c r="B15" s="21" t="s">
        <v>152</v>
      </c>
      <c r="C15" s="22" t="s">
        <v>155</v>
      </c>
      <c r="D15" s="22" t="str">
        <f>PARAM!$G$24</f>
        <v>F10T</v>
      </c>
      <c r="E15" s="22">
        <f>PARAM!$E$24</f>
        <v>16</v>
      </c>
      <c r="F15" s="22">
        <f>IF(PARAM!$C$6="H",PARAM!$I$24,1)</f>
        <v>50</v>
      </c>
      <c r="G15" s="22">
        <f>PARAM!$F$24</f>
        <v>18</v>
      </c>
      <c r="H15" s="22"/>
      <c r="I15" s="22"/>
      <c r="J15" s="22"/>
      <c r="K15" s="22">
        <f>0.9*PARAM!$E$24</f>
        <v>14.4</v>
      </c>
      <c r="L15" s="22">
        <f>IF(PARAM!$C$6="H",PARAM!$I$24-PARAM!$G$6-2*PARAM!$G$17-0.9*PARAM!$E$24,0)</f>
        <v>5.6</v>
      </c>
    </row>
    <row r="16" spans="1:1" x14ac:dyDescent="0.25">
      <c r="A16" s="12" t="s">
        <v>134</v>
      </c>
    </row>
    <row r="17" spans="1:1" x14ac:dyDescent="0.25">
      <c r="A17" s="12" t="s">
        <v>156</v>
      </c>
    </row>
    <row r="18" spans="1:1" x14ac:dyDescent="0.25">
      <c r="A18" s="12" t="s">
        <v>157</v>
      </c>
    </row>
    <row r="19" spans="1:9" x14ac:dyDescent="0.25">
      <c r="A19" s="12" t="s">
        <v>158</v>
      </c>
      <c r="B19" s="21" t="s">
        <v>144</v>
      </c>
      <c r="C19" s="22" t="s">
        <v>159</v>
      </c>
      <c r="D19" s="22" t="str">
        <f>PARAM!$C$8</f>
        <v>SS275</v>
      </c>
      <c r="E19" s="22">
        <f>MAX(1,PARAM!$H$55)</f>
        <v>12</v>
      </c>
      <c r="F19" s="22" t="s">
        <v>146</v>
      </c>
      <c r="G19" s="22" t="s">
        <v>139</v>
      </c>
      <c r="H19" s="22">
        <f>MAX(1,PARAM!$G$55)</f>
        <v>270</v>
      </c>
      <c r="I19" s="22">
        <f>MAX(1,PARAM!$F$55)</f>
        <v>145</v>
      </c>
    </row>
    <row r="20" spans="2:9" x14ac:dyDescent="0.25">
      <c r="B20" s="21" t="s">
        <v>144</v>
      </c>
      <c r="C20" s="22" t="s">
        <v>160</v>
      </c>
      <c r="D20" s="22" t="str">
        <f>PARAM!$C$8</f>
        <v>SS275</v>
      </c>
      <c r="E20" s="22">
        <f>MAX(1,PARAM!$H$56)</f>
        <v>12</v>
      </c>
      <c r="F20" s="22" t="s">
        <v>146</v>
      </c>
      <c r="G20" s="22" t="s">
        <v>139</v>
      </c>
      <c r="H20" s="22">
        <f>MAX(1,PARAM!$G$56)</f>
        <v>270</v>
      </c>
      <c r="I20" s="22">
        <f>MAX(1,PARAM!$F$56)</f>
        <v>145</v>
      </c>
    </row>
    <row r="21" spans="2:9" x14ac:dyDescent="0.25">
      <c r="B21" s="21" t="s">
        <v>144</v>
      </c>
      <c r="C21" s="22" t="s">
        <v>161</v>
      </c>
      <c r="D21" s="22" t="str">
        <f>PARAM!$C$8</f>
        <v>SS275</v>
      </c>
      <c r="E21" s="22">
        <f>MAX(1,PARAM!$H$57)</f>
        <v>1</v>
      </c>
      <c r="F21" s="22" t="s">
        <v>146</v>
      </c>
      <c r="G21" s="22" t="s">
        <v>139</v>
      </c>
      <c r="H21" s="22">
        <f>MAX(1,PARAM!$G$57)</f>
        <v>1</v>
      </c>
      <c r="I21" s="22">
        <f>MAX(1,PARAM!$F$57)</f>
        <v>1</v>
      </c>
    </row>
    <row r="22" spans="2:9" x14ac:dyDescent="0.25">
      <c r="B22" s="21" t="s">
        <v>144</v>
      </c>
      <c r="C22" s="22" t="s">
        <v>162</v>
      </c>
      <c r="D22" s="22" t="str">
        <f>PARAM!$C$8</f>
        <v>SS275</v>
      </c>
      <c r="E22" s="22">
        <f>MAX(1,PARAM!$H$58)</f>
        <v>1</v>
      </c>
      <c r="F22" s="22" t="s">
        <v>146</v>
      </c>
      <c r="G22" s="22" t="s">
        <v>139</v>
      </c>
      <c r="H22" s="22">
        <f>MAX(1,PARAM!$G$58)</f>
        <v>1</v>
      </c>
      <c r="I22" s="22">
        <f>MAX(1,PARAM!$F$58)</f>
        <v>1</v>
      </c>
    </row>
    <row r="23" spans="2:9" x14ac:dyDescent="0.25">
      <c r="B23" s="21" t="s">
        <v>144</v>
      </c>
      <c r="C23" s="22" t="s">
        <v>163</v>
      </c>
      <c r="D23" s="22" t="str">
        <f>PARAM!$C$8</f>
        <v>SS275</v>
      </c>
      <c r="E23" s="22">
        <f>MAX(1,PARAM!$H$59)</f>
        <v>1</v>
      </c>
      <c r="F23" s="22" t="s">
        <v>146</v>
      </c>
      <c r="G23" s="22" t="s">
        <v>139</v>
      </c>
      <c r="H23" s="22">
        <f>MAX(1,PARAM!$G$59)</f>
        <v>1</v>
      </c>
      <c r="I23" s="22">
        <f>MAX(1,PARAM!$F$59)</f>
        <v>1</v>
      </c>
    </row>
    <row r="24" spans="2:9" x14ac:dyDescent="0.25">
      <c r="B24" s="21" t="s">
        <v>144</v>
      </c>
      <c r="C24" s="22" t="s">
        <v>164</v>
      </c>
      <c r="D24" s="22" t="str">
        <f>PARAM!$C$8</f>
        <v>SS275</v>
      </c>
      <c r="E24" s="22">
        <f>MAX(1,PARAM!$H$60)</f>
        <v>1</v>
      </c>
      <c r="F24" s="22" t="s">
        <v>146</v>
      </c>
      <c r="G24" s="22" t="s">
        <v>139</v>
      </c>
      <c r="H24" s="22">
        <f>MAX(1,PARAM!$G$60)</f>
        <v>1</v>
      </c>
      <c r="I24" s="22">
        <f>MAX(1,PARAM!$F$60)</f>
        <v>1</v>
      </c>
    </row>
    <row r="25" spans="2:9" x14ac:dyDescent="0.25">
      <c r="B25" s="21" t="s">
        <v>144</v>
      </c>
      <c r="C25" s="22" t="s">
        <v>165</v>
      </c>
      <c r="D25" s="22" t="str">
        <f>PARAM!$C$8</f>
        <v>SS275</v>
      </c>
      <c r="E25" s="22">
        <f>MAX(1,PARAM!$H$61)</f>
        <v>1</v>
      </c>
      <c r="F25" s="22" t="s">
        <v>146</v>
      </c>
      <c r="G25" s="22" t="s">
        <v>139</v>
      </c>
      <c r="H25" s="22">
        <f>MAX(1,PARAM!$G$61)</f>
        <v>1</v>
      </c>
      <c r="I25" s="22">
        <f>MAX(1,PARAM!$F$61)</f>
        <v>1</v>
      </c>
    </row>
    <row r="26" spans="2:9" x14ac:dyDescent="0.25">
      <c r="B26" s="21" t="s">
        <v>144</v>
      </c>
      <c r="C26" s="22" t="s">
        <v>166</v>
      </c>
      <c r="D26" s="22" t="str">
        <f>PARAM!$C$8</f>
        <v>SS275</v>
      </c>
      <c r="E26" s="22">
        <f>MAX(1,PARAM!$H$62)</f>
        <v>1</v>
      </c>
      <c r="F26" s="22" t="s">
        <v>146</v>
      </c>
      <c r="G26" s="22" t="s">
        <v>139</v>
      </c>
      <c r="H26" s="22">
        <f>MAX(1,PARAM!$G$62)</f>
        <v>1</v>
      </c>
      <c r="I26" s="22">
        <f>MAX(1,PARAM!$F$62)</f>
        <v>1</v>
      </c>
    </row>
    <row r="27" spans="1:1" x14ac:dyDescent="0.25">
      <c r="A27" s="12" t="s">
        <v>134</v>
      </c>
    </row>
    <row r="28" spans="1:1" x14ac:dyDescent="0.25">
      <c r="A28" s="12" t="s">
        <v>167</v>
      </c>
    </row>
    <row r="29" spans="1:1" x14ac:dyDescent="0.25">
      <c r="A29" s="12" t="s">
        <v>168</v>
      </c>
    </row>
    <row r="30" spans="1:12" x14ac:dyDescent="0.25">
      <c r="A30" s="12" t="s">
        <v>169</v>
      </c>
      <c r="B30" s="21" t="s">
        <v>170</v>
      </c>
      <c r="C30" s="22" t="s">
        <v>171</v>
      </c>
      <c r="D30" s="22" t="str">
        <f>IF(PARAM!$E$7&gt;0,"sc.c1","")</f>
        <v>sc.c1</v>
      </c>
      <c r="E30" s="22"/>
      <c r="F30" s="22">
        <v>0</v>
      </c>
      <c r="G30" s="22">
        <v>0</v>
      </c>
      <c r="H30" s="22">
        <v>0</v>
      </c>
      <c r="I30" s="22" t="s">
        <v>172</v>
      </c>
      <c r="J30" s="22">
        <v>0</v>
      </c>
      <c r="K30" s="22">
        <v>0</v>
      </c>
      <c r="L30" s="22">
        <v>90</v>
      </c>
    </row>
    <row r="31" spans="2:6" x14ac:dyDescent="0.25">
      <c r="B31" s="21" t="s">
        <v>170</v>
      </c>
      <c r="C31" s="22" t="s">
        <v>171</v>
      </c>
      <c r="D31" s="22" t="s">
        <v>173</v>
      </c>
      <c r="E31" s="22" t="s">
        <v>138</v>
      </c>
      <c r="F31" s="22" t="s">
        <v>139</v>
      </c>
    </row>
    <row r="32" spans="2:12" x14ac:dyDescent="0.25">
      <c r="B32" s="21" t="s">
        <v>170</v>
      </c>
      <c r="C32" s="22" t="s">
        <v>174</v>
      </c>
      <c r="D32" s="22" t="str">
        <f>"sc.c2"</f>
        <v>sc.c2</v>
      </c>
      <c r="E32" s="22"/>
      <c r="F32" s="22">
        <v>0</v>
      </c>
      <c r="G32" s="22">
        <v>0</v>
      </c>
      <c r="H32" s="22">
        <v>0</v>
      </c>
      <c r="I32" s="22" t="s">
        <v>172</v>
      </c>
      <c r="J32" s="22">
        <v>0</v>
      </c>
      <c r="K32" s="22">
        <v>0</v>
      </c>
      <c r="L32" s="22">
        <v>90</v>
      </c>
    </row>
    <row r="33" spans="2:6" x14ac:dyDescent="0.25">
      <c r="B33" s="21" t="s">
        <v>170</v>
      </c>
      <c r="C33" s="22" t="s">
        <v>174</v>
      </c>
      <c r="D33" s="22" t="s">
        <v>173</v>
      </c>
      <c r="E33" s="22" t="s">
        <v>140</v>
      </c>
      <c r="F33" s="22" t="s">
        <v>139</v>
      </c>
    </row>
    <row r="34" spans="2:12" x14ac:dyDescent="0.25">
      <c r="B34" s="21" t="s">
        <v>170</v>
      </c>
      <c r="C34" s="22" t="s">
        <v>175</v>
      </c>
      <c r="D34" s="22" t="str">
        <f>IF(PARAM!$I$7&gt;0,"sc.c3","")</f>
        <v>sc.c3</v>
      </c>
      <c r="E34" s="22"/>
      <c r="F34" s="22">
        <v>0</v>
      </c>
      <c r="G34" s="22">
        <v>0</v>
      </c>
      <c r="H34" s="22">
        <v>0</v>
      </c>
      <c r="I34" s="22" t="s">
        <v>172</v>
      </c>
      <c r="J34" s="22">
        <v>0</v>
      </c>
      <c r="K34" s="22">
        <v>0</v>
      </c>
      <c r="L34" s="22">
        <v>90</v>
      </c>
    </row>
    <row r="35" spans="2:6" x14ac:dyDescent="0.25">
      <c r="B35" s="21" t="s">
        <v>170</v>
      </c>
      <c r="C35" s="22" t="s">
        <v>175</v>
      </c>
      <c r="D35" s="22" t="s">
        <v>173</v>
      </c>
      <c r="E35" s="22" t="s">
        <v>141</v>
      </c>
      <c r="F35" s="22" t="s">
        <v>139</v>
      </c>
    </row>
    <row r="36" spans="1:1" x14ac:dyDescent="0.25">
      <c r="A36" s="12" t="s">
        <v>134</v>
      </c>
    </row>
    <row r="37" spans="1:1" x14ac:dyDescent="0.25">
      <c r="A37" s="12" t="s">
        <v>176</v>
      </c>
    </row>
    <row r="38" spans="1:9" x14ac:dyDescent="0.25">
      <c r="A38" s="12" t="s">
        <v>177</v>
      </c>
      <c r="B38" s="21" t="s">
        <v>170</v>
      </c>
      <c r="C38" s="22" t="s">
        <v>178</v>
      </c>
      <c r="D38" s="22" t="str">
        <f>IF(PARAM!$E$7&gt;0,"pl.fo","")</f>
        <v>pl.fo</v>
      </c>
      <c r="E38" s="22" t="s">
        <v>139</v>
      </c>
      <c r="F38" s="22">
        <f>IF(PARAM!$C$6="H",((PARAM!$E$6/2+PARAM!$G$15/2)),0)</f>
        <v>156</v>
      </c>
      <c r="G38" s="22">
        <v>0</v>
      </c>
      <c r="H38" s="22">
        <f>IF(PARAM!$C$6="H",0,(PARAM!$G$18/2))</f>
        <v>0</v>
      </c>
      <c r="I38" s="22" t="str">
        <f>IF(PARAM!$C$6="H","YZ","XY")</f>
        <v>YZ</v>
      </c>
    </row>
    <row r="39" spans="2:9" x14ac:dyDescent="0.25">
      <c r="B39" s="21" t="s">
        <v>170</v>
      </c>
      <c r="C39" s="22" t="s">
        <v>178</v>
      </c>
      <c r="D39" s="22" t="str">
        <f>IF(PARAM!$E$7&gt;0,"pl.fo","")</f>
        <v>pl.fo</v>
      </c>
      <c r="E39" s="22" t="s">
        <v>139</v>
      </c>
      <c r="F39" s="22">
        <f>IF(PARAM!$C$6="H",-((PARAM!$E$6/2+PARAM!$G$15/2)),0)</f>
        <v>-156</v>
      </c>
      <c r="G39" s="22">
        <v>0</v>
      </c>
      <c r="H39" s="22">
        <f>IF(PARAM!$C$6="H",0,-(PARAM!$G$18/2))</f>
        <v>0</v>
      </c>
      <c r="I39" s="22" t="str">
        <f>IF(PARAM!$C$6="H","YZ","XY")</f>
        <v>YZ</v>
      </c>
    </row>
    <row r="40" spans="1:9" x14ac:dyDescent="0.25">
      <c r="A40" s="12" t="s">
        <v>179</v>
      </c>
      <c r="B40" s="21" t="s">
        <v>170</v>
      </c>
      <c r="C40" s="22" t="s">
        <v>178</v>
      </c>
      <c r="D40" s="22" t="str">
        <f>IF(AND(PARAM!$E$7&gt;0,PARAM!$C$6="H"),"pl.fi","")</f>
        <v>pl.fi</v>
      </c>
      <c r="E40" s="22" t="s">
        <v>139</v>
      </c>
      <c r="F40" s="22">
        <f>((PARAM!$E$6/2-PARAM!$H$6-PARAM!$G$16/2))</f>
        <v>130</v>
      </c>
      <c r="G40" s="22">
        <f>((PARAM!$I$26/2+((PARAM!$E$15/2-PARAM!$J$26-PARAM!$I$26/2)/(PARAM!$H$26/2-1))/2))</f>
        <v>80</v>
      </c>
      <c r="H40" s="22">
        <v>0</v>
      </c>
      <c r="I40" s="22" t="s">
        <v>180</v>
      </c>
    </row>
    <row r="41" spans="2:9" x14ac:dyDescent="0.25">
      <c r="B41" s="21" t="s">
        <v>170</v>
      </c>
      <c r="C41" s="22" t="s">
        <v>178</v>
      </c>
      <c r="D41" s="22" t="str">
        <f>IF(AND(PARAM!$E$7&gt;0,PARAM!$C$6="H"),"pl.fi","")</f>
        <v>pl.fi</v>
      </c>
      <c r="E41" s="22" t="s">
        <v>139</v>
      </c>
      <c r="F41" s="22">
        <f>((PARAM!$E$6/2-PARAM!$H$6-PARAM!$G$16/2))</f>
        <v>130</v>
      </c>
      <c r="G41" s="22">
        <f>-((PARAM!$I$26/2+((PARAM!$E$15/2-PARAM!$J$26-PARAM!$I$26/2)/(PARAM!$H$26/2-1))/2))</f>
        <v>-80</v>
      </c>
      <c r="H41" s="22">
        <v>0</v>
      </c>
      <c r="I41" s="22" t="s">
        <v>180</v>
      </c>
    </row>
    <row r="42" spans="2:9" x14ac:dyDescent="0.25">
      <c r="B42" s="21" t="s">
        <v>170</v>
      </c>
      <c r="C42" s="22" t="s">
        <v>178</v>
      </c>
      <c r="D42" s="22" t="str">
        <f>IF(AND(PARAM!$E$7&gt;0,PARAM!$C$6="H"),"pl.fi","")</f>
        <v>pl.fi</v>
      </c>
      <c r="E42" s="22" t="s">
        <v>139</v>
      </c>
      <c r="F42" s="22">
        <f>-((PARAM!$E$6/2-PARAM!$H$6-PARAM!$G$16/2))</f>
        <v>-130</v>
      </c>
      <c r="G42" s="22">
        <f>((PARAM!$I$26/2+((PARAM!$E$15/2-PARAM!$J$26-PARAM!$I$26/2)/(PARAM!$H$26/2-1))/2))</f>
        <v>80</v>
      </c>
      <c r="H42" s="22">
        <v>0</v>
      </c>
      <c r="I42" s="22" t="s">
        <v>180</v>
      </c>
    </row>
    <row r="43" spans="2:9" x14ac:dyDescent="0.25">
      <c r="B43" s="21" t="s">
        <v>170</v>
      </c>
      <c r="C43" s="22" t="s">
        <v>178</v>
      </c>
      <c r="D43" s="22" t="str">
        <f>IF(AND(PARAM!$E$7&gt;0,PARAM!$C$6="H"),"pl.fi","")</f>
        <v>pl.fi</v>
      </c>
      <c r="E43" s="22" t="s">
        <v>139</v>
      </c>
      <c r="F43" s="22">
        <f>-((PARAM!$E$6/2-PARAM!$H$6-PARAM!$G$16/2))</f>
        <v>-130</v>
      </c>
      <c r="G43" s="22">
        <f>-((PARAM!$I$26/2+((PARAM!$E$15/2-PARAM!$J$26-PARAM!$I$26/2)/(PARAM!$H$26/2-1))/2))</f>
        <v>-80</v>
      </c>
      <c r="H43" s="22">
        <v>0</v>
      </c>
      <c r="I43" s="22" t="s">
        <v>180</v>
      </c>
    </row>
    <row r="44" spans="1:9" x14ac:dyDescent="0.25">
      <c r="A44" s="12" t="s">
        <v>181</v>
      </c>
      <c r="B44" s="21" t="s">
        <v>170</v>
      </c>
      <c r="C44" s="22" t="s">
        <v>178</v>
      </c>
      <c r="D44" s="22" t="str">
        <f>IF(AND(PARAM!$E$7&gt;0,PARAM!$C$6="H"),"pl.wp","")</f>
        <v>pl.wp</v>
      </c>
      <c r="E44" s="22" t="s">
        <v>139</v>
      </c>
      <c r="F44" s="22">
        <v>0</v>
      </c>
      <c r="G44" s="22">
        <f>((PARAM!$G$6/2+PARAM!$G$17/2))</f>
        <v>10</v>
      </c>
      <c r="H44" s="22">
        <v>0</v>
      </c>
      <c r="I44" s="22" t="s">
        <v>182</v>
      </c>
    </row>
    <row r="45" spans="2:9" x14ac:dyDescent="0.25">
      <c r="B45" s="21" t="s">
        <v>170</v>
      </c>
      <c r="C45" s="22" t="s">
        <v>178</v>
      </c>
      <c r="D45" s="22" t="str">
        <f>IF(AND(PARAM!$E$7&gt;0,PARAM!$C$6="H"),"pl.wp","")</f>
        <v>pl.wp</v>
      </c>
      <c r="E45" s="22" t="s">
        <v>139</v>
      </c>
      <c r="F45" s="22">
        <v>0</v>
      </c>
      <c r="G45" s="22">
        <f>-((PARAM!$G$6/2+PARAM!$G$17/2))</f>
        <v>-10</v>
      </c>
      <c r="H45" s="22">
        <v>0</v>
      </c>
      <c r="I45" s="22" t="s">
        <v>182</v>
      </c>
    </row>
    <row r="46" spans="1:20" x14ac:dyDescent="0.25">
      <c r="A46" s="12" t="s">
        <v>183</v>
      </c>
      <c r="B46" s="21" t="s">
        <v>170</v>
      </c>
      <c r="C46" s="22" t="s">
        <v>178</v>
      </c>
      <c r="D46" s="22" t="str">
        <f>IF(AND(PARAM!$E$7&gt;0,PARAM!$C$6="H"),"bo.f","")</f>
        <v>bo.f</v>
      </c>
      <c r="E46" s="22"/>
      <c r="F46" s="22">
        <f>((PARAM!$E$6/2-PARAM!$H$6-PARAM!$G$16))</f>
        <v>125</v>
      </c>
      <c r="G46" s="22">
        <f>(PARAM!$I$26/2)</f>
        <v>50</v>
      </c>
      <c r="H46" s="22">
        <f>(PARAM!$F$26/2)</f>
        <v>35</v>
      </c>
      <c r="I46" s="22" t="s">
        <v>180</v>
      </c>
      <c r="J46" s="22">
        <v>0</v>
      </c>
      <c r="K46" s="22">
        <v>0</v>
      </c>
      <c r="L46" s="22">
        <v>0</v>
      </c>
      <c r="M46" s="22">
        <v>0</v>
      </c>
      <c r="N46" s="22">
        <f>((PARAM!$E$15/2-PARAM!$J$26-PARAM!$I$26/2)/(PARAM!$H$26/2-1))</f>
        <v>60</v>
      </c>
      <c r="O46" s="22">
        <v>0</v>
      </c>
      <c r="P46" s="22">
        <f>PARAM!$H$26/2-1</f>
        <v>1</v>
      </c>
      <c r="Q46" s="22">
        <v>0</v>
      </c>
      <c r="R46" s="22">
        <v>0</v>
      </c>
      <c r="S46" s="22">
        <f>((PARAM!$F$15/2-PARAM!$G$26-PARAM!$F$26/2)/(PARAM!$E$26/2-1))</f>
        <v>85</v>
      </c>
      <c r="T46" s="22">
        <f>PARAM!$E$26/2-1</f>
        <v>1</v>
      </c>
    </row>
    <row r="47" spans="2:20" x14ac:dyDescent="0.25">
      <c r="B47" s="21" t="s">
        <v>170</v>
      </c>
      <c r="C47" s="22" t="s">
        <v>178</v>
      </c>
      <c r="D47" s="22" t="str">
        <f>IF(AND(PARAM!$E$7&gt;0,PARAM!$C$6="H"),"bo.f","")</f>
        <v>bo.f</v>
      </c>
      <c r="E47" s="22"/>
      <c r="F47" s="22">
        <f>((PARAM!$E$6/2-PARAM!$H$6-PARAM!$G$16))</f>
        <v>125</v>
      </c>
      <c r="G47" s="22">
        <f>-(PARAM!$I$26/2)</f>
        <v>-50</v>
      </c>
      <c r="H47" s="22">
        <f>(PARAM!$F$26/2)</f>
        <v>35</v>
      </c>
      <c r="I47" s="22" t="s">
        <v>180</v>
      </c>
      <c r="J47" s="22">
        <v>0</v>
      </c>
      <c r="K47" s="22">
        <v>0</v>
      </c>
      <c r="L47" s="22">
        <v>0</v>
      </c>
      <c r="M47" s="22">
        <v>0</v>
      </c>
      <c r="N47" s="22">
        <f>-((PARAM!$E$15/2-PARAM!$J$26-PARAM!$I$26/2)/(PARAM!$H$26/2-1))</f>
        <v>-60</v>
      </c>
      <c r="O47" s="22">
        <v>0</v>
      </c>
      <c r="P47" s="22">
        <f>PARAM!$H$26/2-1</f>
        <v>1</v>
      </c>
      <c r="Q47" s="22">
        <v>0</v>
      </c>
      <c r="R47" s="22">
        <v>0</v>
      </c>
      <c r="S47" s="22">
        <f>((PARAM!$F$15/2-PARAM!$G$26-PARAM!$F$26/2)/(PARAM!$E$26/2-1))</f>
        <v>85</v>
      </c>
      <c r="T47" s="22">
        <f>PARAM!$E$26/2-1</f>
        <v>1</v>
      </c>
    </row>
    <row r="48" spans="2:20" x14ac:dyDescent="0.25">
      <c r="B48" s="21" t="s">
        <v>170</v>
      </c>
      <c r="C48" s="22" t="s">
        <v>178</v>
      </c>
      <c r="D48" s="22" t="str">
        <f>IF(AND(PARAM!$E$7&gt;0,PARAM!$C$6="H"),"bo.f","")</f>
        <v>bo.f</v>
      </c>
      <c r="E48" s="22"/>
      <c r="F48" s="22">
        <f>((PARAM!$E$6/2-PARAM!$H$6-PARAM!$G$16))</f>
        <v>125</v>
      </c>
      <c r="G48" s="22">
        <f>(PARAM!$I$26/2)</f>
        <v>50</v>
      </c>
      <c r="H48" s="22">
        <f>-(PARAM!$F$26/2)</f>
        <v>-35</v>
      </c>
      <c r="I48" s="22" t="s">
        <v>180</v>
      </c>
      <c r="J48" s="22">
        <v>0</v>
      </c>
      <c r="K48" s="22">
        <v>0</v>
      </c>
      <c r="L48" s="22">
        <v>0</v>
      </c>
      <c r="M48" s="22">
        <v>0</v>
      </c>
      <c r="N48" s="22">
        <f>((PARAM!$E$15/2-PARAM!$J$26-PARAM!$I$26/2)/(PARAM!$H$26/2-1))</f>
        <v>60</v>
      </c>
      <c r="O48" s="22">
        <v>0</v>
      </c>
      <c r="P48" s="22">
        <f>PARAM!$H$26/2-1</f>
        <v>1</v>
      </c>
      <c r="Q48" s="22">
        <v>0</v>
      </c>
      <c r="R48" s="22">
        <v>0</v>
      </c>
      <c r="S48" s="22">
        <f>-((PARAM!$F$15/2-PARAM!$G$26-PARAM!$F$26/2)/(PARAM!$E$26/2-1))</f>
        <v>-85</v>
      </c>
      <c r="T48" s="22">
        <f>PARAM!$E$26/2-1</f>
        <v>1</v>
      </c>
    </row>
    <row r="49" spans="2:20" x14ac:dyDescent="0.25">
      <c r="B49" s="21" t="s">
        <v>170</v>
      </c>
      <c r="C49" s="22" t="s">
        <v>178</v>
      </c>
      <c r="D49" s="22" t="str">
        <f>IF(AND(PARAM!$E$7&gt;0,PARAM!$C$6="H"),"bo.f","")</f>
        <v>bo.f</v>
      </c>
      <c r="E49" s="22"/>
      <c r="F49" s="22">
        <f>((PARAM!$E$6/2-PARAM!$H$6-PARAM!$G$16))</f>
        <v>125</v>
      </c>
      <c r="G49" s="22">
        <f>-(PARAM!$I$26/2)</f>
        <v>-50</v>
      </c>
      <c r="H49" s="22">
        <f>-(PARAM!$F$26/2)</f>
        <v>-35</v>
      </c>
      <c r="I49" s="22" t="s">
        <v>180</v>
      </c>
      <c r="J49" s="22">
        <v>0</v>
      </c>
      <c r="K49" s="22">
        <v>0</v>
      </c>
      <c r="L49" s="22">
        <v>0</v>
      </c>
      <c r="M49" s="22">
        <v>0</v>
      </c>
      <c r="N49" s="22">
        <f>-((PARAM!$E$15/2-PARAM!$J$26-PARAM!$I$26/2)/(PARAM!$H$26/2-1))</f>
        <v>-60</v>
      </c>
      <c r="O49" s="22">
        <v>0</v>
      </c>
      <c r="P49" s="22">
        <f>PARAM!$H$26/2-1</f>
        <v>1</v>
      </c>
      <c r="Q49" s="22">
        <v>0</v>
      </c>
      <c r="R49" s="22">
        <v>0</v>
      </c>
      <c r="S49" s="22">
        <f>-((PARAM!$F$15/2-PARAM!$G$26-PARAM!$F$26/2)/(PARAM!$E$26/2-1))</f>
        <v>-85</v>
      </c>
      <c r="T49" s="22">
        <f>PARAM!$E$26/2-1</f>
        <v>1</v>
      </c>
    </row>
    <row r="50" spans="2:20" x14ac:dyDescent="0.25">
      <c r="B50" s="21" t="s">
        <v>170</v>
      </c>
      <c r="C50" s="22" t="s">
        <v>178</v>
      </c>
      <c r="D50" s="22" t="str">
        <f>IF(AND(PARAM!$E$7&gt;0,PARAM!$C$6="H"),"bo.f","")</f>
        <v>bo.f</v>
      </c>
      <c r="E50" s="22"/>
      <c r="F50" s="22">
        <f>-((PARAM!$E$6/2-PARAM!$H$6-PARAM!$G$16))</f>
        <v>-125</v>
      </c>
      <c r="G50" s="22">
        <f>(PARAM!$I$26/2)</f>
        <v>50</v>
      </c>
      <c r="H50" s="22">
        <f>(PARAM!$F$26/2)</f>
        <v>35</v>
      </c>
      <c r="I50" s="22" t="s">
        <v>180</v>
      </c>
      <c r="J50" s="22">
        <v>0</v>
      </c>
      <c r="K50" s="22">
        <v>0</v>
      </c>
      <c r="L50" s="22">
        <v>180</v>
      </c>
      <c r="M50" s="22">
        <v>0</v>
      </c>
      <c r="N50" s="22">
        <f>((PARAM!$E$15/2-PARAM!$J$26-PARAM!$I$26/2)/(PARAM!$H$26/2-1))</f>
        <v>60</v>
      </c>
      <c r="O50" s="22">
        <v>0</v>
      </c>
      <c r="P50" s="22">
        <f>PARAM!$H$26/2-1</f>
        <v>1</v>
      </c>
      <c r="Q50" s="22">
        <v>0</v>
      </c>
      <c r="R50" s="22">
        <v>0</v>
      </c>
      <c r="S50" s="22">
        <f>((PARAM!$F$15/2-PARAM!$G$26-PARAM!$F$26/2)/(PARAM!$E$26/2-1))</f>
        <v>85</v>
      </c>
      <c r="T50" s="22">
        <f>PARAM!$E$26/2-1</f>
        <v>1</v>
      </c>
    </row>
    <row r="51" spans="2:20" x14ac:dyDescent="0.25">
      <c r="B51" s="21" t="s">
        <v>170</v>
      </c>
      <c r="C51" s="22" t="s">
        <v>178</v>
      </c>
      <c r="D51" s="22" t="str">
        <f>IF(AND(PARAM!$E$7&gt;0,PARAM!$C$6="H"),"bo.f","")</f>
        <v>bo.f</v>
      </c>
      <c r="E51" s="22"/>
      <c r="F51" s="22">
        <f>-((PARAM!$E$6/2-PARAM!$H$6-PARAM!$G$16))</f>
        <v>-125</v>
      </c>
      <c r="G51" s="22">
        <f>-(PARAM!$I$26/2)</f>
        <v>-50</v>
      </c>
      <c r="H51" s="22">
        <f>(PARAM!$F$26/2)</f>
        <v>35</v>
      </c>
      <c r="I51" s="22" t="s">
        <v>180</v>
      </c>
      <c r="J51" s="22">
        <v>0</v>
      </c>
      <c r="K51" s="22">
        <v>0</v>
      </c>
      <c r="L51" s="22">
        <v>180</v>
      </c>
      <c r="M51" s="22">
        <v>0</v>
      </c>
      <c r="N51" s="22">
        <f>-((PARAM!$E$15/2-PARAM!$J$26-PARAM!$I$26/2)/(PARAM!$H$26/2-1))</f>
        <v>-60</v>
      </c>
      <c r="O51" s="22">
        <v>0</v>
      </c>
      <c r="P51" s="22">
        <f>PARAM!$H$26/2-1</f>
        <v>1</v>
      </c>
      <c r="Q51" s="22">
        <v>0</v>
      </c>
      <c r="R51" s="22">
        <v>0</v>
      </c>
      <c r="S51" s="22">
        <f>((PARAM!$F$15/2-PARAM!$G$26-PARAM!$F$26/2)/(PARAM!$E$26/2-1))</f>
        <v>85</v>
      </c>
      <c r="T51" s="22">
        <f>PARAM!$E$26/2-1</f>
        <v>1</v>
      </c>
    </row>
    <row r="52" spans="2:20" x14ac:dyDescent="0.25">
      <c r="B52" s="21" t="s">
        <v>170</v>
      </c>
      <c r="C52" s="22" t="s">
        <v>178</v>
      </c>
      <c r="D52" s="22" t="str">
        <f>IF(AND(PARAM!$E$7&gt;0,PARAM!$C$6="H"),"bo.f","")</f>
        <v>bo.f</v>
      </c>
      <c r="E52" s="22"/>
      <c r="F52" s="22">
        <f>-((PARAM!$E$6/2-PARAM!$H$6-PARAM!$G$16))</f>
        <v>-125</v>
      </c>
      <c r="G52" s="22">
        <f>(PARAM!$I$26/2)</f>
        <v>50</v>
      </c>
      <c r="H52" s="22">
        <f>-(PARAM!$F$26/2)</f>
        <v>-35</v>
      </c>
      <c r="I52" s="22" t="s">
        <v>180</v>
      </c>
      <c r="J52" s="22">
        <v>0</v>
      </c>
      <c r="K52" s="22">
        <v>0</v>
      </c>
      <c r="L52" s="22">
        <v>180</v>
      </c>
      <c r="M52" s="22">
        <v>0</v>
      </c>
      <c r="N52" s="22">
        <f>((PARAM!$E$15/2-PARAM!$J$26-PARAM!$I$26/2)/(PARAM!$H$26/2-1))</f>
        <v>60</v>
      </c>
      <c r="O52" s="22">
        <v>0</v>
      </c>
      <c r="P52" s="22">
        <f>PARAM!$H$26/2-1</f>
        <v>1</v>
      </c>
      <c r="Q52" s="22">
        <v>0</v>
      </c>
      <c r="R52" s="22">
        <v>0</v>
      </c>
      <c r="S52" s="22">
        <f>-((PARAM!$F$15/2-PARAM!$G$26-PARAM!$F$26/2)/(PARAM!$E$26/2-1))</f>
        <v>-85</v>
      </c>
      <c r="T52" s="22">
        <f>PARAM!$E$26/2-1</f>
        <v>1</v>
      </c>
    </row>
    <row r="53" spans="2:20" x14ac:dyDescent="0.25">
      <c r="B53" s="21" t="s">
        <v>170</v>
      </c>
      <c r="C53" s="22" t="s">
        <v>178</v>
      </c>
      <c r="D53" s="22" t="str">
        <f>IF(AND(PARAM!$E$7&gt;0,PARAM!$C$6="H"),"bo.f","")</f>
        <v>bo.f</v>
      </c>
      <c r="E53" s="22"/>
      <c r="F53" s="22">
        <f>-((PARAM!$E$6/2-PARAM!$H$6-PARAM!$G$16))</f>
        <v>-125</v>
      </c>
      <c r="G53" s="22">
        <f>-(PARAM!$I$26/2)</f>
        <v>-50</v>
      </c>
      <c r="H53" s="22">
        <f>-(PARAM!$F$26/2)</f>
        <v>-35</v>
      </c>
      <c r="I53" s="22" t="s">
        <v>180</v>
      </c>
      <c r="J53" s="22">
        <v>0</v>
      </c>
      <c r="K53" s="22">
        <v>0</v>
      </c>
      <c r="L53" s="22">
        <v>180</v>
      </c>
      <c r="M53" s="22">
        <v>0</v>
      </c>
      <c r="N53" s="22">
        <f>-((PARAM!$E$15/2-PARAM!$J$26-PARAM!$I$26/2)/(PARAM!$H$26/2-1))</f>
        <v>-60</v>
      </c>
      <c r="O53" s="22">
        <v>0</v>
      </c>
      <c r="P53" s="22">
        <f>PARAM!$H$26/2-1</f>
        <v>1</v>
      </c>
      <c r="Q53" s="22">
        <v>0</v>
      </c>
      <c r="R53" s="22">
        <v>0</v>
      </c>
      <c r="S53" s="22">
        <f>-((PARAM!$F$15/2-PARAM!$G$26-PARAM!$F$26/2)/(PARAM!$E$26/2-1))</f>
        <v>-85</v>
      </c>
      <c r="T53" s="22">
        <f>PARAM!$E$26/2-1</f>
        <v>1</v>
      </c>
    </row>
    <row r="54" spans="1:16" x14ac:dyDescent="0.25">
      <c r="A54" s="12" t="s">
        <v>184</v>
      </c>
      <c r="B54" s="21" t="s">
        <v>170</v>
      </c>
      <c r="C54" s="22" t="s">
        <v>178</v>
      </c>
      <c r="D54" s="22" t="str">
        <f>IF(AND(PARAM!$E$7&gt;0,NOT(PARAM!$C$6="H")),"bo.f","")</f>
        <v/>
      </c>
      <c r="E54" s="22"/>
      <c r="F54" s="22">
        <f>-(PARAM!$E$18/2-PARAM!$F$29)</f>
        <v>-180</v>
      </c>
      <c r="G54" s="22">
        <f>((PARAM!$F$18/2-PARAM!$I$29))</f>
        <v>180</v>
      </c>
      <c r="H54" s="22">
        <f>-PARAM!$G$18/2</f>
        <v>-10</v>
      </c>
      <c r="I54" s="22" t="s">
        <v>172</v>
      </c>
      <c r="J54" s="22">
        <v>0</v>
      </c>
      <c r="K54" s="22">
        <v>0</v>
      </c>
      <c r="L54" s="22">
        <v>0</v>
      </c>
      <c r="M54" s="22">
        <f>((PARAM!$E$18-2*PARAM!$F$29)/(PARAM!$E$29-1))</f>
        <v>180</v>
      </c>
      <c r="N54" s="22">
        <v>0</v>
      </c>
      <c r="O54" s="22">
        <v>0</v>
      </c>
      <c r="P54" s="22">
        <f>PARAM!$E$29-1</f>
        <v>2</v>
      </c>
    </row>
    <row r="55" spans="2:16" x14ac:dyDescent="0.25">
      <c r="B55" s="21" t="s">
        <v>170</v>
      </c>
      <c r="C55" s="22" t="s">
        <v>178</v>
      </c>
      <c r="D55" s="22" t="str">
        <f>IF(AND(PARAM!$E$7&gt;0,NOT(PARAM!$C$6="H")),"bo.f","")</f>
        <v/>
      </c>
      <c r="E55" s="22"/>
      <c r="F55" s="22">
        <f>-(PARAM!$E$18/2-PARAM!$F$29)</f>
        <v>-180</v>
      </c>
      <c r="G55" s="22">
        <f>-((PARAM!$F$18/2-PARAM!$I$29))</f>
        <v>-180</v>
      </c>
      <c r="H55" s="22">
        <f>-PARAM!$G$18/2</f>
        <v>-10</v>
      </c>
      <c r="I55" s="22" t="s">
        <v>172</v>
      </c>
      <c r="J55" s="22">
        <v>0</v>
      </c>
      <c r="K55" s="22">
        <v>0</v>
      </c>
      <c r="L55" s="22">
        <v>0</v>
      </c>
      <c r="M55" s="22">
        <f>((PARAM!$E$18-2*PARAM!$F$29)/(PARAM!$E$29-1))</f>
        <v>180</v>
      </c>
      <c r="N55" s="22">
        <v>0</v>
      </c>
      <c r="O55" s="22">
        <v>0</v>
      </c>
      <c r="P55" s="22">
        <f>PARAM!$E$29-1</f>
        <v>2</v>
      </c>
    </row>
    <row r="56" spans="1:16" x14ac:dyDescent="0.25">
      <c r="A56" s="12" t="s">
        <v>185</v>
      </c>
      <c r="B56" s="21" t="s">
        <v>170</v>
      </c>
      <c r="C56" s="22" t="s">
        <v>178</v>
      </c>
      <c r="D56" s="22" t="str">
        <f>IF(AND(PARAM!$E$7&gt;0,NOT(PARAM!$C$6="H"),PARAM!$H$29&gt;2),"bo.f","")</f>
        <v/>
      </c>
      <c r="E56" s="22"/>
      <c r="F56" s="22">
        <f>((PARAM!$E$18/2-PARAM!$F$29))</f>
        <v>180</v>
      </c>
      <c r="G56" s="22">
        <f>-(PARAM!$F$18/2-PARAM!$I$29)+((PARAM!$F$18-2*PARAM!$I$29)/(PARAM!$H$29-1))</f>
        <v>0</v>
      </c>
      <c r="H56" s="22">
        <f>-PARAM!$G$18/2</f>
        <v>-10</v>
      </c>
      <c r="I56" s="22" t="s">
        <v>172</v>
      </c>
      <c r="J56" s="22">
        <v>0</v>
      </c>
      <c r="K56" s="22">
        <v>0</v>
      </c>
      <c r="L56" s="22">
        <v>0</v>
      </c>
      <c r="M56" s="22">
        <v>0</v>
      </c>
      <c r="N56" s="22">
        <f>IF(PARAM!$H$29&gt;3,((PARAM!$F$18-2*PARAM!$I$29)/(PARAM!$H$29-1)),0)</f>
        <v>0</v>
      </c>
      <c r="O56" s="22">
        <v>0</v>
      </c>
      <c r="P56" s="22">
        <f>MAX(0,PARAM!$H$29-3)</f>
        <v>0</v>
      </c>
    </row>
    <row r="57" spans="2:16" x14ac:dyDescent="0.25">
      <c r="B57" s="21" t="s">
        <v>170</v>
      </c>
      <c r="C57" s="22" t="s">
        <v>178</v>
      </c>
      <c r="D57" s="22" t="str">
        <f>IF(AND(PARAM!$E$7&gt;0,NOT(PARAM!$C$6="H"),PARAM!$H$29&gt;2),"bo.f","")</f>
        <v/>
      </c>
      <c r="E57" s="22"/>
      <c r="F57" s="22">
        <f>-((PARAM!$E$18/2-PARAM!$F$29))</f>
        <v>-180</v>
      </c>
      <c r="G57" s="22">
        <f>-(PARAM!$F$18/2-PARAM!$I$29)+((PARAM!$F$18-2*PARAM!$I$29)/(PARAM!$H$29-1))</f>
        <v>0</v>
      </c>
      <c r="H57" s="22">
        <f>-PARAM!$G$18/2</f>
        <v>-10</v>
      </c>
      <c r="I57" s="22" t="s">
        <v>172</v>
      </c>
      <c r="J57" s="22">
        <v>0</v>
      </c>
      <c r="K57" s="22">
        <v>0</v>
      </c>
      <c r="L57" s="22">
        <v>0</v>
      </c>
      <c r="M57" s="22">
        <v>0</v>
      </c>
      <c r="N57" s="22">
        <f>IF(PARAM!$H$29&gt;3,((PARAM!$F$18-2*PARAM!$I$29)/(PARAM!$H$29-1)),0)</f>
        <v>0</v>
      </c>
      <c r="O57" s="22">
        <v>0</v>
      </c>
      <c r="P57" s="22">
        <f>MAX(0,PARAM!$H$29-3)</f>
        <v>0</v>
      </c>
    </row>
    <row r="58" spans="1:20" x14ac:dyDescent="0.25">
      <c r="A58" s="12" t="s">
        <v>186</v>
      </c>
      <c r="B58" s="21" t="s">
        <v>170</v>
      </c>
      <c r="C58" s="22" t="s">
        <v>178</v>
      </c>
      <c r="D58" s="22" t="str">
        <f>IF(AND(PARAM!$E$7&gt;0,PARAM!$C$6="H"),"bo.w","")</f>
        <v>bo.w</v>
      </c>
      <c r="E58" s="22"/>
      <c r="F58" s="22">
        <f>-(PARAM!$E$17/2-PARAM!$J$27)</f>
        <v>-77</v>
      </c>
      <c r="G58" s="22">
        <f>(PARAM!$G$6/2+PARAM!$G$17)</f>
        <v>15</v>
      </c>
      <c r="H58" s="22">
        <f>(PARAM!$F$27/2)</f>
        <v>30</v>
      </c>
      <c r="I58" s="22" t="s">
        <v>182</v>
      </c>
      <c r="J58" s="22">
        <v>0</v>
      </c>
      <c r="K58" s="22">
        <v>0</v>
      </c>
      <c r="L58" s="22">
        <v>0</v>
      </c>
      <c r="M58" s="22">
        <f>(PARAM!$E$17-2*PARAM!$J$27-PARAM!$I$27)/(PARAM!$H$27-1)</f>
        <v>77</v>
      </c>
      <c r="N58" s="22">
        <v>0</v>
      </c>
      <c r="O58" s="22">
        <v>0</v>
      </c>
      <c r="P58" s="22">
        <f>PARAM!$H$27-1</f>
        <v>2</v>
      </c>
      <c r="Q58" s="22">
        <v>0</v>
      </c>
      <c r="R58" s="22">
        <v>0</v>
      </c>
      <c r="S58" s="22">
        <f>((PARAM!$F$17/2-PARAM!$G$27-PARAM!$F$27/2)/(PARAM!$E$27/2-1))</f>
        <v>90</v>
      </c>
      <c r="T58" s="22">
        <f>PARAM!$E$27/2-1</f>
        <v>1</v>
      </c>
    </row>
    <row r="59" spans="2:20" x14ac:dyDescent="0.25">
      <c r="B59" s="21" t="s">
        <v>170</v>
      </c>
      <c r="C59" s="22" t="s">
        <v>178</v>
      </c>
      <c r="D59" s="22" t="str">
        <f>IF(AND(PARAM!$E$7&gt;0,PARAM!$C$6="H"),"bo.w","")</f>
        <v>bo.w</v>
      </c>
      <c r="E59" s="22"/>
      <c r="F59" s="22">
        <f>-(PARAM!$E$17/2-PARAM!$J$27)</f>
        <v>-77</v>
      </c>
      <c r="G59" s="22">
        <f>(PARAM!$G$6/2+PARAM!$G$17)</f>
        <v>15</v>
      </c>
      <c r="H59" s="22">
        <f>-(PARAM!$F$27/2)</f>
        <v>-30</v>
      </c>
      <c r="I59" s="22" t="s">
        <v>182</v>
      </c>
      <c r="J59" s="22">
        <v>0</v>
      </c>
      <c r="K59" s="22">
        <v>0</v>
      </c>
      <c r="L59" s="22">
        <v>0</v>
      </c>
      <c r="M59" s="22">
        <f>(PARAM!$E$17-2*PARAM!$J$27-PARAM!$I$27)/(PARAM!$H$27-1)</f>
        <v>77</v>
      </c>
      <c r="N59" s="22">
        <v>0</v>
      </c>
      <c r="O59" s="22">
        <v>0</v>
      </c>
      <c r="P59" s="22">
        <f>PARAM!$H$27-1</f>
        <v>2</v>
      </c>
      <c r="Q59" s="22">
        <v>0</v>
      </c>
      <c r="R59" s="22">
        <v>0</v>
      </c>
      <c r="S59" s="22">
        <f>-((PARAM!$F$17/2-PARAM!$G$27-PARAM!$F$27/2)/(PARAM!$E$27/2-1))</f>
        <v>-90</v>
      </c>
      <c r="T59" s="22">
        <f>PARAM!$E$27/2-1</f>
        <v>1</v>
      </c>
    </row>
    <row r="60" spans="2:6" x14ac:dyDescent="0.25">
      <c r="B60" s="21" t="s">
        <v>170</v>
      </c>
      <c r="C60" s="22" t="s">
        <v>178</v>
      </c>
      <c r="D60" s="22" t="s">
        <v>173</v>
      </c>
      <c r="E60" s="22" t="s">
        <v>187</v>
      </c>
      <c r="F60" s="22" t="s">
        <v>139</v>
      </c>
    </row>
    <row r="61" spans="2:9" x14ac:dyDescent="0.25">
      <c r="B61" s="21" t="s">
        <v>170</v>
      </c>
      <c r="C61" s="22" t="s">
        <v>188</v>
      </c>
      <c r="D61" s="22" t="str">
        <f>IF(PARAM!$I$7&gt;0,"pl.fo","")</f>
        <v>pl.fo</v>
      </c>
      <c r="E61" s="22" t="s">
        <v>139</v>
      </c>
      <c r="F61" s="22">
        <f>IF(PARAM!$C$6="H",((PARAM!$E$6/2+PARAM!$G$15/2)),0)</f>
        <v>156</v>
      </c>
      <c r="G61" s="22">
        <v>0</v>
      </c>
      <c r="H61" s="22">
        <f>IF(PARAM!$C$6="H",0,(PARAM!$G$18/2))</f>
        <v>0</v>
      </c>
      <c r="I61" s="22" t="str">
        <f>IF(PARAM!$C$6="H","YZ","XY")</f>
        <v>YZ</v>
      </c>
    </row>
    <row r="62" spans="2:9" x14ac:dyDescent="0.25">
      <c r="B62" s="21" t="s">
        <v>170</v>
      </c>
      <c r="C62" s="22" t="s">
        <v>188</v>
      </c>
      <c r="D62" s="22" t="str">
        <f>IF(PARAM!$I$7&gt;0,"pl.fo","")</f>
        <v>pl.fo</v>
      </c>
      <c r="E62" s="22" t="s">
        <v>139</v>
      </c>
      <c r="F62" s="22">
        <f>IF(PARAM!$C$6="H",-((PARAM!$E$6/2+PARAM!$G$15/2)),0)</f>
        <v>-156</v>
      </c>
      <c r="G62" s="22">
        <v>0</v>
      </c>
      <c r="H62" s="22">
        <f>IF(PARAM!$C$6="H",0,-(PARAM!$G$18/2))</f>
        <v>0</v>
      </c>
      <c r="I62" s="22" t="str">
        <f>IF(PARAM!$C$6="H","YZ","XY")</f>
        <v>YZ</v>
      </c>
    </row>
    <row r="63" spans="2:9" x14ac:dyDescent="0.25">
      <c r="B63" s="21" t="s">
        <v>170</v>
      </c>
      <c r="C63" s="22" t="s">
        <v>188</v>
      </c>
      <c r="D63" s="22" t="str">
        <f>IF(AND(PARAM!$I$7&gt;0,PARAM!$C$6="H"),"pl.fi","")</f>
        <v>pl.fi</v>
      </c>
      <c r="E63" s="22" t="s">
        <v>139</v>
      </c>
      <c r="F63" s="22">
        <f>((PARAM!$E$6/2-PARAM!$H$6-PARAM!$G$16/2))</f>
        <v>130</v>
      </c>
      <c r="G63" s="22">
        <f>((PARAM!$I$26/2+((PARAM!$E$15/2-PARAM!$J$26-PARAM!$I$26/2)/(PARAM!$H$26/2-1))/2))</f>
        <v>80</v>
      </c>
      <c r="H63" s="22">
        <v>0</v>
      </c>
      <c r="I63" s="22" t="s">
        <v>180</v>
      </c>
    </row>
    <row r="64" spans="2:9" x14ac:dyDescent="0.25">
      <c r="B64" s="21" t="s">
        <v>170</v>
      </c>
      <c r="C64" s="22" t="s">
        <v>188</v>
      </c>
      <c r="D64" s="22" t="str">
        <f>IF(AND(PARAM!$I$7&gt;0,PARAM!$C$6="H"),"pl.fi","")</f>
        <v>pl.fi</v>
      </c>
      <c r="E64" s="22" t="s">
        <v>139</v>
      </c>
      <c r="F64" s="22">
        <f>((PARAM!$E$6/2-PARAM!$H$6-PARAM!$G$16/2))</f>
        <v>130</v>
      </c>
      <c r="G64" s="22">
        <f>-((PARAM!$I$26/2+((PARAM!$E$15/2-PARAM!$J$26-PARAM!$I$26/2)/(PARAM!$H$26/2-1))/2))</f>
        <v>-80</v>
      </c>
      <c r="H64" s="22">
        <v>0</v>
      </c>
      <c r="I64" s="22" t="s">
        <v>180</v>
      </c>
    </row>
    <row r="65" spans="2:9" x14ac:dyDescent="0.25">
      <c r="B65" s="21" t="s">
        <v>170</v>
      </c>
      <c r="C65" s="22" t="s">
        <v>188</v>
      </c>
      <c r="D65" s="22" t="str">
        <f>IF(AND(PARAM!$I$7&gt;0,PARAM!$C$6="H"),"pl.fi","")</f>
        <v>pl.fi</v>
      </c>
      <c r="E65" s="22" t="s">
        <v>139</v>
      </c>
      <c r="F65" s="22">
        <f>-((PARAM!$E$6/2-PARAM!$H$6-PARAM!$G$16/2))</f>
        <v>-130</v>
      </c>
      <c r="G65" s="22">
        <f>((PARAM!$I$26/2+((PARAM!$E$15/2-PARAM!$J$26-PARAM!$I$26/2)/(PARAM!$H$26/2-1))/2))</f>
        <v>80</v>
      </c>
      <c r="H65" s="22">
        <v>0</v>
      </c>
      <c r="I65" s="22" t="s">
        <v>180</v>
      </c>
    </row>
    <row r="66" spans="2:9" x14ac:dyDescent="0.25">
      <c r="B66" s="21" t="s">
        <v>170</v>
      </c>
      <c r="C66" s="22" t="s">
        <v>188</v>
      </c>
      <c r="D66" s="22" t="str">
        <f>IF(AND(PARAM!$I$7&gt;0,PARAM!$C$6="H"),"pl.fi","")</f>
        <v>pl.fi</v>
      </c>
      <c r="E66" s="22" t="s">
        <v>139</v>
      </c>
      <c r="F66" s="22">
        <f>-((PARAM!$E$6/2-PARAM!$H$6-PARAM!$G$16/2))</f>
        <v>-130</v>
      </c>
      <c r="G66" s="22">
        <f>-((PARAM!$I$26/2+((PARAM!$E$15/2-PARAM!$J$26-PARAM!$I$26/2)/(PARAM!$H$26/2-1))/2))</f>
        <v>-80</v>
      </c>
      <c r="H66" s="22">
        <v>0</v>
      </c>
      <c r="I66" s="22" t="s">
        <v>180</v>
      </c>
    </row>
    <row r="67" spans="2:9" x14ac:dyDescent="0.25">
      <c r="B67" s="21" t="s">
        <v>170</v>
      </c>
      <c r="C67" s="22" t="s">
        <v>188</v>
      </c>
      <c r="D67" s="22" t="str">
        <f>IF(AND(PARAM!$I$7&gt;0,PARAM!$C$6="H"),"pl.wp","")</f>
        <v>pl.wp</v>
      </c>
      <c r="E67" s="22" t="s">
        <v>139</v>
      </c>
      <c r="F67" s="22">
        <v>0</v>
      </c>
      <c r="G67" s="22">
        <f>((PARAM!$G$6/2+PARAM!$G$17/2))</f>
        <v>10</v>
      </c>
      <c r="H67" s="22">
        <v>0</v>
      </c>
      <c r="I67" s="22" t="s">
        <v>182</v>
      </c>
    </row>
    <row r="68" spans="2:9" x14ac:dyDescent="0.25">
      <c r="B68" s="21" t="s">
        <v>170</v>
      </c>
      <c r="C68" s="22" t="s">
        <v>188</v>
      </c>
      <c r="D68" s="22" t="str">
        <f>IF(AND(PARAM!$I$7&gt;0,PARAM!$C$6="H"),"pl.wp","")</f>
        <v>pl.wp</v>
      </c>
      <c r="E68" s="22" t="s">
        <v>139</v>
      </c>
      <c r="F68" s="22">
        <v>0</v>
      </c>
      <c r="G68" s="22">
        <f>-((PARAM!$G$6/2+PARAM!$G$17/2))</f>
        <v>-10</v>
      </c>
      <c r="H68" s="22">
        <v>0</v>
      </c>
      <c r="I68" s="22" t="s">
        <v>182</v>
      </c>
    </row>
    <row r="69" spans="2:20" x14ac:dyDescent="0.25">
      <c r="B69" s="21" t="s">
        <v>170</v>
      </c>
      <c r="C69" s="22" t="s">
        <v>188</v>
      </c>
      <c r="D69" s="22" t="str">
        <f>IF(AND(PARAM!$I$7&gt;0,PARAM!$C$6="H"),"bo.f","")</f>
        <v>bo.f</v>
      </c>
      <c r="E69" s="22"/>
      <c r="F69" s="22">
        <f>((PARAM!$E$6/2-PARAM!$H$6-PARAM!$G$16))</f>
        <v>125</v>
      </c>
      <c r="G69" s="22">
        <f>(PARAM!$I$26/2)</f>
        <v>50</v>
      </c>
      <c r="H69" s="22">
        <f>(PARAM!$F$26/2)</f>
        <v>35</v>
      </c>
      <c r="I69" s="22" t="s">
        <v>180</v>
      </c>
      <c r="J69" s="22">
        <v>0</v>
      </c>
      <c r="K69" s="22">
        <v>0</v>
      </c>
      <c r="L69" s="22">
        <v>0</v>
      </c>
      <c r="M69" s="22">
        <v>0</v>
      </c>
      <c r="N69" s="22">
        <f>((PARAM!$E$15/2-PARAM!$J$26-PARAM!$I$26/2)/(PARAM!$H$26/2-1))</f>
        <v>60</v>
      </c>
      <c r="O69" s="22">
        <v>0</v>
      </c>
      <c r="P69" s="22">
        <f>PARAM!$H$26/2-1</f>
        <v>1</v>
      </c>
      <c r="Q69" s="22">
        <v>0</v>
      </c>
      <c r="R69" s="22">
        <v>0</v>
      </c>
      <c r="S69" s="22">
        <f>((PARAM!$F$15/2-PARAM!$G$26-PARAM!$F$26/2)/(PARAM!$E$26/2-1))</f>
        <v>85</v>
      </c>
      <c r="T69" s="22">
        <f>PARAM!$E$26/2-1</f>
        <v>1</v>
      </c>
    </row>
    <row r="70" spans="2:20" x14ac:dyDescent="0.25">
      <c r="B70" s="21" t="s">
        <v>170</v>
      </c>
      <c r="C70" s="22" t="s">
        <v>188</v>
      </c>
      <c r="D70" s="22" t="str">
        <f>IF(AND(PARAM!$I$7&gt;0,PARAM!$C$6="H"),"bo.f","")</f>
        <v>bo.f</v>
      </c>
      <c r="E70" s="22"/>
      <c r="F70" s="22">
        <f>((PARAM!$E$6/2-PARAM!$H$6-PARAM!$G$16))</f>
        <v>125</v>
      </c>
      <c r="G70" s="22">
        <f>-(PARAM!$I$26/2)</f>
        <v>-50</v>
      </c>
      <c r="H70" s="22">
        <f>(PARAM!$F$26/2)</f>
        <v>35</v>
      </c>
      <c r="I70" s="22" t="s">
        <v>180</v>
      </c>
      <c r="J70" s="22">
        <v>0</v>
      </c>
      <c r="K70" s="22">
        <v>0</v>
      </c>
      <c r="L70" s="22">
        <v>0</v>
      </c>
      <c r="M70" s="22">
        <v>0</v>
      </c>
      <c r="N70" s="22">
        <f>-((PARAM!$E$15/2-PARAM!$J$26-PARAM!$I$26/2)/(PARAM!$H$26/2-1))</f>
        <v>-60</v>
      </c>
      <c r="O70" s="22">
        <v>0</v>
      </c>
      <c r="P70" s="22">
        <f>PARAM!$H$26/2-1</f>
        <v>1</v>
      </c>
      <c r="Q70" s="22">
        <v>0</v>
      </c>
      <c r="R70" s="22">
        <v>0</v>
      </c>
      <c r="S70" s="22">
        <f>((PARAM!$F$15/2-PARAM!$G$26-PARAM!$F$26/2)/(PARAM!$E$26/2-1))</f>
        <v>85</v>
      </c>
      <c r="T70" s="22">
        <f>PARAM!$E$26/2-1</f>
        <v>1</v>
      </c>
    </row>
    <row r="71" spans="2:20" x14ac:dyDescent="0.25">
      <c r="B71" s="21" t="s">
        <v>170</v>
      </c>
      <c r="C71" s="22" t="s">
        <v>188</v>
      </c>
      <c r="D71" s="22" t="str">
        <f>IF(AND(PARAM!$I$7&gt;0,PARAM!$C$6="H"),"bo.f","")</f>
        <v>bo.f</v>
      </c>
      <c r="E71" s="22"/>
      <c r="F71" s="22">
        <f>((PARAM!$E$6/2-PARAM!$H$6-PARAM!$G$16))</f>
        <v>125</v>
      </c>
      <c r="G71" s="22">
        <f>(PARAM!$I$26/2)</f>
        <v>50</v>
      </c>
      <c r="H71" s="22">
        <f>-(PARAM!$F$26/2)</f>
        <v>-35</v>
      </c>
      <c r="I71" s="22" t="s">
        <v>180</v>
      </c>
      <c r="J71" s="22">
        <v>0</v>
      </c>
      <c r="K71" s="22">
        <v>0</v>
      </c>
      <c r="L71" s="22">
        <v>0</v>
      </c>
      <c r="M71" s="22">
        <v>0</v>
      </c>
      <c r="N71" s="22">
        <f>((PARAM!$E$15/2-PARAM!$J$26-PARAM!$I$26/2)/(PARAM!$H$26/2-1))</f>
        <v>60</v>
      </c>
      <c r="O71" s="22">
        <v>0</v>
      </c>
      <c r="P71" s="22">
        <f>PARAM!$H$26/2-1</f>
        <v>1</v>
      </c>
      <c r="Q71" s="22">
        <v>0</v>
      </c>
      <c r="R71" s="22">
        <v>0</v>
      </c>
      <c r="S71" s="22">
        <f>-((PARAM!$F$15/2-PARAM!$G$26-PARAM!$F$26/2)/(PARAM!$E$26/2-1))</f>
        <v>-85</v>
      </c>
      <c r="T71" s="22">
        <f>PARAM!$E$26/2-1</f>
        <v>1</v>
      </c>
    </row>
    <row r="72" spans="2:20" x14ac:dyDescent="0.25">
      <c r="B72" s="21" t="s">
        <v>170</v>
      </c>
      <c r="C72" s="22" t="s">
        <v>188</v>
      </c>
      <c r="D72" s="22" t="str">
        <f>IF(AND(PARAM!$I$7&gt;0,PARAM!$C$6="H"),"bo.f","")</f>
        <v>bo.f</v>
      </c>
      <c r="E72" s="22"/>
      <c r="F72" s="22">
        <f>((PARAM!$E$6/2-PARAM!$H$6-PARAM!$G$16))</f>
        <v>125</v>
      </c>
      <c r="G72" s="22">
        <f>-(PARAM!$I$26/2)</f>
        <v>-50</v>
      </c>
      <c r="H72" s="22">
        <f>-(PARAM!$F$26/2)</f>
        <v>-35</v>
      </c>
      <c r="I72" s="22" t="s">
        <v>180</v>
      </c>
      <c r="J72" s="22">
        <v>0</v>
      </c>
      <c r="K72" s="22">
        <v>0</v>
      </c>
      <c r="L72" s="22">
        <v>0</v>
      </c>
      <c r="M72" s="22">
        <v>0</v>
      </c>
      <c r="N72" s="22">
        <f>-((PARAM!$E$15/2-PARAM!$J$26-PARAM!$I$26/2)/(PARAM!$H$26/2-1))</f>
        <v>-60</v>
      </c>
      <c r="O72" s="22">
        <v>0</v>
      </c>
      <c r="P72" s="22">
        <f>PARAM!$H$26/2-1</f>
        <v>1</v>
      </c>
      <c r="Q72" s="22">
        <v>0</v>
      </c>
      <c r="R72" s="22">
        <v>0</v>
      </c>
      <c r="S72" s="22">
        <f>-((PARAM!$F$15/2-PARAM!$G$26-PARAM!$F$26/2)/(PARAM!$E$26/2-1))</f>
        <v>-85</v>
      </c>
      <c r="T72" s="22">
        <f>PARAM!$E$26/2-1</f>
        <v>1</v>
      </c>
    </row>
    <row r="73" spans="2:20" x14ac:dyDescent="0.25">
      <c r="B73" s="21" t="s">
        <v>170</v>
      </c>
      <c r="C73" s="22" t="s">
        <v>188</v>
      </c>
      <c r="D73" s="22" t="str">
        <f>IF(AND(PARAM!$I$7&gt;0,PARAM!$C$6="H"),"bo.f","")</f>
        <v>bo.f</v>
      </c>
      <c r="E73" s="22"/>
      <c r="F73" s="22">
        <f>-((PARAM!$E$6/2-PARAM!$H$6-PARAM!$G$16))</f>
        <v>-125</v>
      </c>
      <c r="G73" s="22">
        <f>(PARAM!$I$26/2)</f>
        <v>50</v>
      </c>
      <c r="H73" s="22">
        <f>(PARAM!$F$26/2)</f>
        <v>35</v>
      </c>
      <c r="I73" s="22" t="s">
        <v>180</v>
      </c>
      <c r="J73" s="22">
        <v>0</v>
      </c>
      <c r="K73" s="22">
        <v>0</v>
      </c>
      <c r="L73" s="22">
        <v>180</v>
      </c>
      <c r="M73" s="22">
        <v>0</v>
      </c>
      <c r="N73" s="22">
        <f>((PARAM!$E$15/2-PARAM!$J$26-PARAM!$I$26/2)/(PARAM!$H$26/2-1))</f>
        <v>60</v>
      </c>
      <c r="O73" s="22">
        <v>0</v>
      </c>
      <c r="P73" s="22">
        <f>PARAM!$H$26/2-1</f>
        <v>1</v>
      </c>
      <c r="Q73" s="22">
        <v>0</v>
      </c>
      <c r="R73" s="22">
        <v>0</v>
      </c>
      <c r="S73" s="22">
        <f>((PARAM!$F$15/2-PARAM!$G$26-PARAM!$F$26/2)/(PARAM!$E$26/2-1))</f>
        <v>85</v>
      </c>
      <c r="T73" s="22">
        <f>PARAM!$E$26/2-1</f>
        <v>1</v>
      </c>
    </row>
    <row r="74" spans="2:20" x14ac:dyDescent="0.25">
      <c r="B74" s="21" t="s">
        <v>170</v>
      </c>
      <c r="C74" s="22" t="s">
        <v>188</v>
      </c>
      <c r="D74" s="22" t="str">
        <f>IF(AND(PARAM!$I$7&gt;0,PARAM!$C$6="H"),"bo.f","")</f>
        <v>bo.f</v>
      </c>
      <c r="E74" s="22"/>
      <c r="F74" s="22">
        <f>-((PARAM!$E$6/2-PARAM!$H$6-PARAM!$G$16))</f>
        <v>-125</v>
      </c>
      <c r="G74" s="22">
        <f>-(PARAM!$I$26/2)</f>
        <v>-50</v>
      </c>
      <c r="H74" s="22">
        <f>(PARAM!$F$26/2)</f>
        <v>35</v>
      </c>
      <c r="I74" s="22" t="s">
        <v>180</v>
      </c>
      <c r="J74" s="22">
        <v>0</v>
      </c>
      <c r="K74" s="22">
        <v>0</v>
      </c>
      <c r="L74" s="22">
        <v>180</v>
      </c>
      <c r="M74" s="22">
        <v>0</v>
      </c>
      <c r="N74" s="22">
        <f>-((PARAM!$E$15/2-PARAM!$J$26-PARAM!$I$26/2)/(PARAM!$H$26/2-1))</f>
        <v>-60</v>
      </c>
      <c r="O74" s="22">
        <v>0</v>
      </c>
      <c r="P74" s="22">
        <f>PARAM!$H$26/2-1</f>
        <v>1</v>
      </c>
      <c r="Q74" s="22">
        <v>0</v>
      </c>
      <c r="R74" s="22">
        <v>0</v>
      </c>
      <c r="S74" s="22">
        <f>((PARAM!$F$15/2-PARAM!$G$26-PARAM!$F$26/2)/(PARAM!$E$26/2-1))</f>
        <v>85</v>
      </c>
      <c r="T74" s="22">
        <f>PARAM!$E$26/2-1</f>
        <v>1</v>
      </c>
    </row>
    <row r="75" spans="2:20" x14ac:dyDescent="0.25">
      <c r="B75" s="21" t="s">
        <v>170</v>
      </c>
      <c r="C75" s="22" t="s">
        <v>188</v>
      </c>
      <c r="D75" s="22" t="str">
        <f>IF(AND(PARAM!$I$7&gt;0,PARAM!$C$6="H"),"bo.f","")</f>
        <v>bo.f</v>
      </c>
      <c r="E75" s="22"/>
      <c r="F75" s="22">
        <f>-((PARAM!$E$6/2-PARAM!$H$6-PARAM!$G$16))</f>
        <v>-125</v>
      </c>
      <c r="G75" s="22">
        <f>(PARAM!$I$26/2)</f>
        <v>50</v>
      </c>
      <c r="H75" s="22">
        <f>-(PARAM!$F$26/2)</f>
        <v>-35</v>
      </c>
      <c r="I75" s="22" t="s">
        <v>180</v>
      </c>
      <c r="J75" s="22">
        <v>0</v>
      </c>
      <c r="K75" s="22">
        <v>0</v>
      </c>
      <c r="L75" s="22">
        <v>180</v>
      </c>
      <c r="M75" s="22">
        <v>0</v>
      </c>
      <c r="N75" s="22">
        <f>((PARAM!$E$15/2-PARAM!$J$26-PARAM!$I$26/2)/(PARAM!$H$26/2-1))</f>
        <v>60</v>
      </c>
      <c r="O75" s="22">
        <v>0</v>
      </c>
      <c r="P75" s="22">
        <f>PARAM!$H$26/2-1</f>
        <v>1</v>
      </c>
      <c r="Q75" s="22">
        <v>0</v>
      </c>
      <c r="R75" s="22">
        <v>0</v>
      </c>
      <c r="S75" s="22">
        <f>-((PARAM!$F$15/2-PARAM!$G$26-PARAM!$F$26/2)/(PARAM!$E$26/2-1))</f>
        <v>-85</v>
      </c>
      <c r="T75" s="22">
        <f>PARAM!$E$26/2-1</f>
        <v>1</v>
      </c>
    </row>
    <row r="76" spans="2:20" x14ac:dyDescent="0.25">
      <c r="B76" s="21" t="s">
        <v>170</v>
      </c>
      <c r="C76" s="22" t="s">
        <v>188</v>
      </c>
      <c r="D76" s="22" t="str">
        <f>IF(AND(PARAM!$I$7&gt;0,PARAM!$C$6="H"),"bo.f","")</f>
        <v>bo.f</v>
      </c>
      <c r="E76" s="22"/>
      <c r="F76" s="22">
        <f>-((PARAM!$E$6/2-PARAM!$H$6-PARAM!$G$16))</f>
        <v>-125</v>
      </c>
      <c r="G76" s="22">
        <f>-(PARAM!$I$26/2)</f>
        <v>-50</v>
      </c>
      <c r="H76" s="22">
        <f>-(PARAM!$F$26/2)</f>
        <v>-35</v>
      </c>
      <c r="I76" s="22" t="s">
        <v>180</v>
      </c>
      <c r="J76" s="22">
        <v>0</v>
      </c>
      <c r="K76" s="22">
        <v>0</v>
      </c>
      <c r="L76" s="22">
        <v>180</v>
      </c>
      <c r="M76" s="22">
        <v>0</v>
      </c>
      <c r="N76" s="22">
        <f>-((PARAM!$E$15/2-PARAM!$J$26-PARAM!$I$26/2)/(PARAM!$H$26/2-1))</f>
        <v>-60</v>
      </c>
      <c r="O76" s="22">
        <v>0</v>
      </c>
      <c r="P76" s="22">
        <f>PARAM!$H$26/2-1</f>
        <v>1</v>
      </c>
      <c r="Q76" s="22">
        <v>0</v>
      </c>
      <c r="R76" s="22">
        <v>0</v>
      </c>
      <c r="S76" s="22">
        <f>-((PARAM!$F$15/2-PARAM!$G$26-PARAM!$F$26/2)/(PARAM!$E$26/2-1))</f>
        <v>-85</v>
      </c>
      <c r="T76" s="22">
        <f>PARAM!$E$26/2-1</f>
        <v>1</v>
      </c>
    </row>
    <row r="77" spans="2:16" x14ac:dyDescent="0.25">
      <c r="B77" s="21" t="s">
        <v>170</v>
      </c>
      <c r="C77" s="22" t="s">
        <v>188</v>
      </c>
      <c r="D77" s="22" t="str">
        <f>IF(AND(PARAM!$I$7&gt;0,NOT(PARAM!$C$6="H")),"bo.f","")</f>
        <v/>
      </c>
      <c r="E77" s="22"/>
      <c r="F77" s="22">
        <f>-(PARAM!$E$18/2-PARAM!$F$29)</f>
        <v>-180</v>
      </c>
      <c r="G77" s="22">
        <f>((PARAM!$F$18/2-PARAM!$I$29))</f>
        <v>180</v>
      </c>
      <c r="H77" s="22">
        <f>-PARAM!$G$18/2</f>
        <v>-10</v>
      </c>
      <c r="I77" s="22" t="s">
        <v>172</v>
      </c>
      <c r="J77" s="22">
        <v>0</v>
      </c>
      <c r="K77" s="22">
        <v>0</v>
      </c>
      <c r="L77" s="22">
        <v>0</v>
      </c>
      <c r="M77" s="22">
        <f>((PARAM!$E$18-2*PARAM!$F$29)/(PARAM!$E$29-1))</f>
        <v>180</v>
      </c>
      <c r="N77" s="22">
        <v>0</v>
      </c>
      <c r="O77" s="22">
        <v>0</v>
      </c>
      <c r="P77" s="22">
        <f>PARAM!$E$29-1</f>
        <v>2</v>
      </c>
    </row>
    <row r="78" spans="2:16" x14ac:dyDescent="0.25">
      <c r="B78" s="21" t="s">
        <v>170</v>
      </c>
      <c r="C78" s="22" t="s">
        <v>188</v>
      </c>
      <c r="D78" s="22" t="str">
        <f>IF(AND(PARAM!$I$7&gt;0,NOT(PARAM!$C$6="H")),"bo.f","")</f>
        <v/>
      </c>
      <c r="E78" s="22"/>
      <c r="F78" s="22">
        <f>-(PARAM!$E$18/2-PARAM!$F$29)</f>
        <v>-180</v>
      </c>
      <c r="G78" s="22">
        <f>-((PARAM!$F$18/2-PARAM!$I$29))</f>
        <v>-180</v>
      </c>
      <c r="H78" s="22">
        <f>-PARAM!$G$18/2</f>
        <v>-10</v>
      </c>
      <c r="I78" s="22" t="s">
        <v>172</v>
      </c>
      <c r="J78" s="22">
        <v>0</v>
      </c>
      <c r="K78" s="22">
        <v>0</v>
      </c>
      <c r="L78" s="22">
        <v>0</v>
      </c>
      <c r="M78" s="22">
        <f>((PARAM!$E$18-2*PARAM!$F$29)/(PARAM!$E$29-1))</f>
        <v>180</v>
      </c>
      <c r="N78" s="22">
        <v>0</v>
      </c>
      <c r="O78" s="22">
        <v>0</v>
      </c>
      <c r="P78" s="22">
        <f>PARAM!$E$29-1</f>
        <v>2</v>
      </c>
    </row>
    <row r="79" spans="2:16" x14ac:dyDescent="0.25">
      <c r="B79" s="21" t="s">
        <v>170</v>
      </c>
      <c r="C79" s="22" t="s">
        <v>188</v>
      </c>
      <c r="D79" s="22" t="str">
        <f>IF(AND(PARAM!$I$7&gt;0,NOT(PARAM!$C$6="H"),PARAM!$H$29&gt;2),"bo.f","")</f>
        <v/>
      </c>
      <c r="E79" s="22"/>
      <c r="F79" s="22">
        <f>((PARAM!$E$18/2-PARAM!$F$29))</f>
        <v>180</v>
      </c>
      <c r="G79" s="22">
        <f>-(PARAM!$F$18/2-PARAM!$I$29)+((PARAM!$F$18-2*PARAM!$I$29)/(PARAM!$H$29-1))</f>
        <v>0</v>
      </c>
      <c r="H79" s="22">
        <f>-PARAM!$G$18/2</f>
        <v>-10</v>
      </c>
      <c r="I79" s="22" t="s">
        <v>172</v>
      </c>
      <c r="J79" s="22">
        <v>0</v>
      </c>
      <c r="K79" s="22">
        <v>0</v>
      </c>
      <c r="L79" s="22">
        <v>0</v>
      </c>
      <c r="M79" s="22">
        <v>0</v>
      </c>
      <c r="N79" s="22">
        <f>IF(PARAM!$H$29&gt;3,((PARAM!$F$18-2*PARAM!$I$29)/(PARAM!$H$29-1)),0)</f>
        <v>0</v>
      </c>
      <c r="O79" s="22">
        <v>0</v>
      </c>
      <c r="P79" s="22">
        <f>MAX(0,PARAM!$H$29-3)</f>
        <v>0</v>
      </c>
    </row>
    <row r="80" spans="2:16" x14ac:dyDescent="0.25">
      <c r="B80" s="21" t="s">
        <v>170</v>
      </c>
      <c r="C80" s="22" t="s">
        <v>188</v>
      </c>
      <c r="D80" s="22" t="str">
        <f>IF(AND(PARAM!$I$7&gt;0,NOT(PARAM!$C$6="H"),PARAM!$H$29&gt;2),"bo.f","")</f>
        <v/>
      </c>
      <c r="E80" s="22"/>
      <c r="F80" s="22">
        <f>-((PARAM!$E$18/2-PARAM!$F$29))</f>
        <v>-180</v>
      </c>
      <c r="G80" s="22">
        <f>-(PARAM!$F$18/2-PARAM!$I$29)+((PARAM!$F$18-2*PARAM!$I$29)/(PARAM!$H$29-1))</f>
        <v>0</v>
      </c>
      <c r="H80" s="22">
        <f>-PARAM!$G$18/2</f>
        <v>-10</v>
      </c>
      <c r="I80" s="22" t="s">
        <v>172</v>
      </c>
      <c r="J80" s="22">
        <v>0</v>
      </c>
      <c r="K80" s="22">
        <v>0</v>
      </c>
      <c r="L80" s="22">
        <v>0</v>
      </c>
      <c r="M80" s="22">
        <v>0</v>
      </c>
      <c r="N80" s="22">
        <f>IF(PARAM!$H$29&gt;3,((PARAM!$F$18-2*PARAM!$I$29)/(PARAM!$H$29-1)),0)</f>
        <v>0</v>
      </c>
      <c r="O80" s="22">
        <v>0</v>
      </c>
      <c r="P80" s="22">
        <f>MAX(0,PARAM!$H$29-3)</f>
        <v>0</v>
      </c>
    </row>
    <row r="81" spans="2:20" x14ac:dyDescent="0.25">
      <c r="B81" s="21" t="s">
        <v>170</v>
      </c>
      <c r="C81" s="22" t="s">
        <v>188</v>
      </c>
      <c r="D81" s="22" t="str">
        <f>IF(AND(PARAM!$I$7&gt;0,PARAM!$C$6="H"),"bo.w","")</f>
        <v>bo.w</v>
      </c>
      <c r="E81" s="22"/>
      <c r="F81" s="22">
        <f>-(PARAM!$E$17/2-PARAM!$J$27)</f>
        <v>-77</v>
      </c>
      <c r="G81" s="22">
        <f>(PARAM!$G$6/2+PARAM!$G$17)</f>
        <v>15</v>
      </c>
      <c r="H81" s="22">
        <f>(PARAM!$F$27/2)</f>
        <v>30</v>
      </c>
      <c r="I81" s="22" t="s">
        <v>182</v>
      </c>
      <c r="J81" s="22">
        <v>0</v>
      </c>
      <c r="K81" s="22">
        <v>0</v>
      </c>
      <c r="L81" s="22">
        <v>0</v>
      </c>
      <c r="M81" s="22">
        <f>(PARAM!$E$17-2*PARAM!$J$27-PARAM!$I$27)/(PARAM!$H$27-1)</f>
        <v>77</v>
      </c>
      <c r="N81" s="22">
        <v>0</v>
      </c>
      <c r="O81" s="22">
        <v>0</v>
      </c>
      <c r="P81" s="22">
        <f>PARAM!$H$27-1</f>
        <v>2</v>
      </c>
      <c r="Q81" s="22">
        <v>0</v>
      </c>
      <c r="R81" s="22">
        <v>0</v>
      </c>
      <c r="S81" s="22">
        <f>((PARAM!$F$17/2-PARAM!$G$27-PARAM!$F$27/2)/(PARAM!$E$27/2-1))</f>
        <v>90</v>
      </c>
      <c r="T81" s="22">
        <f>PARAM!$E$27/2-1</f>
        <v>1</v>
      </c>
    </row>
    <row r="82" spans="2:20" x14ac:dyDescent="0.25">
      <c r="B82" s="21" t="s">
        <v>170</v>
      </c>
      <c r="C82" s="22" t="s">
        <v>188</v>
      </c>
      <c r="D82" s="22" t="str">
        <f>IF(AND(PARAM!$I$7&gt;0,PARAM!$C$6="H"),"bo.w","")</f>
        <v>bo.w</v>
      </c>
      <c r="E82" s="22"/>
      <c r="F82" s="22">
        <f>-(PARAM!$E$17/2-PARAM!$J$27)</f>
        <v>-77</v>
      </c>
      <c r="G82" s="22">
        <f>(PARAM!$G$6/2+PARAM!$G$17)</f>
        <v>15</v>
      </c>
      <c r="H82" s="22">
        <f>-(PARAM!$F$27/2)</f>
        <v>-30</v>
      </c>
      <c r="I82" s="22" t="s">
        <v>182</v>
      </c>
      <c r="J82" s="22">
        <v>0</v>
      </c>
      <c r="K82" s="22">
        <v>0</v>
      </c>
      <c r="L82" s="22">
        <v>0</v>
      </c>
      <c r="M82" s="22">
        <f>(PARAM!$E$17-2*PARAM!$J$27-PARAM!$I$27)/(PARAM!$H$27-1)</f>
        <v>77</v>
      </c>
      <c r="N82" s="22">
        <v>0</v>
      </c>
      <c r="O82" s="22">
        <v>0</v>
      </c>
      <c r="P82" s="22">
        <f>PARAM!$H$27-1</f>
        <v>2</v>
      </c>
      <c r="Q82" s="22">
        <v>0</v>
      </c>
      <c r="R82" s="22">
        <v>0</v>
      </c>
      <c r="S82" s="22">
        <f>-((PARAM!$F$17/2-PARAM!$G$27-PARAM!$F$27/2)/(PARAM!$E$27/2-1))</f>
        <v>-90</v>
      </c>
      <c r="T82" s="22">
        <f>PARAM!$E$27/2-1</f>
        <v>1</v>
      </c>
    </row>
    <row r="83" spans="2:6" x14ac:dyDescent="0.25">
      <c r="B83" s="21" t="s">
        <v>170</v>
      </c>
      <c r="C83" s="22" t="s">
        <v>188</v>
      </c>
      <c r="D83" s="22" t="s">
        <v>173</v>
      </c>
      <c r="E83" s="22" t="s">
        <v>187</v>
      </c>
      <c r="F83" s="22" t="s">
        <v>139</v>
      </c>
    </row>
    <row r="84" spans="1:1" x14ac:dyDescent="0.25">
      <c r="A84" s="12" t="s">
        <v>134</v>
      </c>
    </row>
    <row r="85" spans="1:1" x14ac:dyDescent="0.25">
      <c r="A85" s="12" t="s">
        <v>189</v>
      </c>
    </row>
    <row r="86" spans="1:1" x14ac:dyDescent="0.25">
      <c r="A86" s="12" t="s">
        <v>190</v>
      </c>
    </row>
    <row r="87" spans="1:16" x14ac:dyDescent="0.25">
      <c r="A87" s="12" t="s">
        <v>191</v>
      </c>
      <c r="B87" s="21" t="s">
        <v>170</v>
      </c>
      <c r="C87" s="22" t="s">
        <v>174</v>
      </c>
      <c r="D87" s="22" t="str">
        <f>IF(AND(PARAM!$C$6="H",PARAM!$H$55&gt;0),"pl.stf1","")</f>
        <v>pl.stf1</v>
      </c>
      <c r="E87" s="22" t="s">
        <v>139</v>
      </c>
      <c r="F87" s="22">
        <v>0</v>
      </c>
      <c r="G87" s="22">
        <f>-(PARAM!$F$6+PARAM!$G$6)/4</f>
        <v>-77.5</v>
      </c>
      <c r="H87" s="22">
        <f>PARAM!$G$7/2+PARAM!$E$55</f>
        <v>845.5</v>
      </c>
      <c r="I87" s="22" t="s">
        <v>172</v>
      </c>
      <c r="J87" s="22">
        <v>0</v>
      </c>
      <c r="K87" s="22">
        <v>0</v>
      </c>
      <c r="L87" s="22">
        <v>0</v>
      </c>
      <c r="M87" s="22">
        <v>0</v>
      </c>
      <c r="N87" s="22">
        <f>2*(PARAM!$F$6+PARAM!$G$6)/4</f>
        <v>155</v>
      </c>
      <c r="O87" s="22">
        <v>0</v>
      </c>
      <c r="P87" s="22">
        <v>1</v>
      </c>
    </row>
    <row r="88" spans="2:16" x14ac:dyDescent="0.25">
      <c r="B88" s="21" t="s">
        <v>170</v>
      </c>
      <c r="C88" s="22" t="s">
        <v>174</v>
      </c>
      <c r="D88" s="22" t="str">
        <f>IF(AND(PARAM!$C$6="H",PARAM!$H$56&gt;0),"pl.stf2","")</f>
        <v>pl.stf2</v>
      </c>
      <c r="E88" s="22" t="s">
        <v>139</v>
      </c>
      <c r="F88" s="22">
        <v>0</v>
      </c>
      <c r="G88" s="22">
        <f>-(PARAM!$F$6+PARAM!$G$6)/4</f>
        <v>-77.5</v>
      </c>
      <c r="H88" s="22">
        <f>PARAM!$G$7/2+PARAM!$E$56</f>
        <v>554.5</v>
      </c>
      <c r="I88" s="22" t="s">
        <v>172</v>
      </c>
      <c r="J88" s="22">
        <v>0</v>
      </c>
      <c r="K88" s="22">
        <v>0</v>
      </c>
      <c r="L88" s="22">
        <v>0</v>
      </c>
      <c r="M88" s="22">
        <v>0</v>
      </c>
      <c r="N88" s="22">
        <f>2*(PARAM!$F$6+PARAM!$G$6)/4</f>
        <v>155</v>
      </c>
      <c r="O88" s="22">
        <v>0</v>
      </c>
      <c r="P88" s="22">
        <v>1</v>
      </c>
    </row>
    <row r="89" spans="2:16" x14ac:dyDescent="0.25">
      <c r="B89" s="21" t="s">
        <v>170</v>
      </c>
      <c r="C89" s="22" t="s">
        <v>174</v>
      </c>
      <c r="D89" s="22" t="str">
        <f>IF(AND(PARAM!$C$6="H",PARAM!$H$57&gt;0),"pl.stf3","")</f>
        <v/>
      </c>
      <c r="E89" s="22" t="s">
        <v>139</v>
      </c>
      <c r="F89" s="22">
        <v>0</v>
      </c>
      <c r="G89" s="22">
        <f>-(PARAM!$F$6+PARAM!$G$6)/4</f>
        <v>-77.5</v>
      </c>
      <c r="H89" s="22">
        <f>PARAM!$G$7/2+PARAM!$E$57</f>
        <v>700</v>
      </c>
      <c r="I89" s="22" t="s">
        <v>172</v>
      </c>
      <c r="J89" s="22">
        <v>0</v>
      </c>
      <c r="K89" s="22">
        <v>0</v>
      </c>
      <c r="L89" s="22">
        <v>0</v>
      </c>
      <c r="M89" s="22">
        <v>0</v>
      </c>
      <c r="N89" s="22">
        <f>2*(PARAM!$F$6+PARAM!$G$6)/4</f>
        <v>155</v>
      </c>
      <c r="O89" s="22">
        <v>0</v>
      </c>
      <c r="P89" s="22">
        <v>1</v>
      </c>
    </row>
    <row r="90" spans="2:16" x14ac:dyDescent="0.25">
      <c r="B90" s="21" t="s">
        <v>170</v>
      </c>
      <c r="C90" s="22" t="s">
        <v>174</v>
      </c>
      <c r="D90" s="22" t="str">
        <f>IF(AND(PARAM!$C$6="H",PARAM!$H$58&gt;0),"pl.stf4","")</f>
        <v/>
      </c>
      <c r="E90" s="22" t="s">
        <v>139</v>
      </c>
      <c r="F90" s="22">
        <v>0</v>
      </c>
      <c r="G90" s="22">
        <f>-(PARAM!$F$6+PARAM!$G$6)/4</f>
        <v>-77.5</v>
      </c>
      <c r="H90" s="22">
        <f>PARAM!$G$7/2+PARAM!$E$58</f>
        <v>700</v>
      </c>
      <c r="I90" s="22" t="s">
        <v>172</v>
      </c>
      <c r="J90" s="22">
        <v>0</v>
      </c>
      <c r="K90" s="22">
        <v>0</v>
      </c>
      <c r="L90" s="22">
        <v>0</v>
      </c>
      <c r="M90" s="22">
        <v>0</v>
      </c>
      <c r="N90" s="22">
        <f>2*(PARAM!$F$6+PARAM!$G$6)/4</f>
        <v>155</v>
      </c>
      <c r="O90" s="22">
        <v>0</v>
      </c>
      <c r="P90" s="22">
        <v>1</v>
      </c>
    </row>
    <row r="91" spans="2:16" x14ac:dyDescent="0.25">
      <c r="B91" s="21" t="s">
        <v>170</v>
      </c>
      <c r="C91" s="22" t="s">
        <v>174</v>
      </c>
      <c r="D91" s="22" t="str">
        <f>IF(AND(PARAM!$C$6="H",PARAM!$H$59&gt;0),"pl.stf5","")</f>
        <v/>
      </c>
      <c r="E91" s="22" t="s">
        <v>139</v>
      </c>
      <c r="F91" s="22">
        <v>0</v>
      </c>
      <c r="G91" s="22">
        <f>-(PARAM!$F$6+PARAM!$G$6)/4</f>
        <v>-77.5</v>
      </c>
      <c r="H91" s="22">
        <f>PARAM!$G$7/2+PARAM!$E$59</f>
        <v>700</v>
      </c>
      <c r="I91" s="22" t="s">
        <v>172</v>
      </c>
      <c r="J91" s="22">
        <v>0</v>
      </c>
      <c r="K91" s="22">
        <v>0</v>
      </c>
      <c r="L91" s="22">
        <v>0</v>
      </c>
      <c r="M91" s="22">
        <v>0</v>
      </c>
      <c r="N91" s="22">
        <f>2*(PARAM!$F$6+PARAM!$G$6)/4</f>
        <v>155</v>
      </c>
      <c r="O91" s="22">
        <v>0</v>
      </c>
      <c r="P91" s="22">
        <v>1</v>
      </c>
    </row>
    <row r="92" spans="2:16" x14ac:dyDescent="0.25">
      <c r="B92" s="21" t="s">
        <v>170</v>
      </c>
      <c r="C92" s="22" t="s">
        <v>174</v>
      </c>
      <c r="D92" s="22" t="str">
        <f>IF(AND(PARAM!$C$6="H",PARAM!$H$60&gt;0),"pl.stf6","")</f>
        <v/>
      </c>
      <c r="E92" s="22" t="s">
        <v>139</v>
      </c>
      <c r="F92" s="22">
        <v>0</v>
      </c>
      <c r="G92" s="22">
        <f>-(PARAM!$F$6+PARAM!$G$6)/4</f>
        <v>-77.5</v>
      </c>
      <c r="H92" s="22">
        <f>PARAM!$G$7/2+PARAM!$E$60</f>
        <v>700</v>
      </c>
      <c r="I92" s="22" t="s">
        <v>172</v>
      </c>
      <c r="J92" s="22">
        <v>0</v>
      </c>
      <c r="K92" s="22">
        <v>0</v>
      </c>
      <c r="L92" s="22">
        <v>0</v>
      </c>
      <c r="M92" s="22">
        <v>0</v>
      </c>
      <c r="N92" s="22">
        <f>2*(PARAM!$F$6+PARAM!$G$6)/4</f>
        <v>155</v>
      </c>
      <c r="O92" s="22">
        <v>0</v>
      </c>
      <c r="P92" s="22">
        <v>1</v>
      </c>
    </row>
    <row r="93" spans="2:16" x14ac:dyDescent="0.25">
      <c r="B93" s="21" t="s">
        <v>170</v>
      </c>
      <c r="C93" s="22" t="s">
        <v>174</v>
      </c>
      <c r="D93" s="22" t="str">
        <f>IF(AND(PARAM!$C$6="H",PARAM!$H$61&gt;0),"pl.stf7","")</f>
        <v/>
      </c>
      <c r="E93" s="22" t="s">
        <v>139</v>
      </c>
      <c r="F93" s="22">
        <v>0</v>
      </c>
      <c r="G93" s="22">
        <f>-(PARAM!$F$6+PARAM!$G$6)/4</f>
        <v>-77.5</v>
      </c>
      <c r="H93" s="22">
        <f>PARAM!$G$7/2+PARAM!$E$61</f>
        <v>700</v>
      </c>
      <c r="I93" s="22" t="s">
        <v>172</v>
      </c>
      <c r="J93" s="22">
        <v>0</v>
      </c>
      <c r="K93" s="22">
        <v>0</v>
      </c>
      <c r="L93" s="22">
        <v>0</v>
      </c>
      <c r="M93" s="22">
        <v>0</v>
      </c>
      <c r="N93" s="22">
        <f>2*(PARAM!$F$6+PARAM!$G$6)/4</f>
        <v>155</v>
      </c>
      <c r="O93" s="22">
        <v>0</v>
      </c>
      <c r="P93" s="22">
        <v>1</v>
      </c>
    </row>
    <row r="94" spans="2:16" x14ac:dyDescent="0.25">
      <c r="B94" s="21" t="s">
        <v>170</v>
      </c>
      <c r="C94" s="22" t="s">
        <v>174</v>
      </c>
      <c r="D94" s="22" t="str">
        <f>IF(AND(PARAM!$C$6="H",PARAM!$H$62&gt;0),"pl.stf8","")</f>
        <v/>
      </c>
      <c r="E94" s="22" t="s">
        <v>139</v>
      </c>
      <c r="F94" s="22">
        <v>0</v>
      </c>
      <c r="G94" s="22">
        <f>-(PARAM!$F$6+PARAM!$G$6)/4</f>
        <v>-77.5</v>
      </c>
      <c r="H94" s="22">
        <f>PARAM!$G$7/2+PARAM!$E$62</f>
        <v>700</v>
      </c>
      <c r="I94" s="22" t="s">
        <v>172</v>
      </c>
      <c r="J94" s="22">
        <v>0</v>
      </c>
      <c r="K94" s="22">
        <v>0</v>
      </c>
      <c r="L94" s="22">
        <v>0</v>
      </c>
      <c r="M94" s="22">
        <v>0</v>
      </c>
      <c r="N94" s="22">
        <f>2*(PARAM!$F$6+PARAM!$G$6)/4</f>
        <v>155</v>
      </c>
      <c r="O94" s="22">
        <v>0</v>
      </c>
      <c r="P94" s="22">
        <v>1</v>
      </c>
    </row>
    <row r="95" spans="1:1" x14ac:dyDescent="0.25">
      <c r="A95" s="12" t="s">
        <v>134</v>
      </c>
    </row>
    <row r="96" spans="1:1" x14ac:dyDescent="0.25">
      <c r="A96" s="12" t="s">
        <v>192</v>
      </c>
    </row>
    <row r="97" spans="1:11" x14ac:dyDescent="0.25">
      <c r="A97" s="12" t="s">
        <v>18</v>
      </c>
      <c r="B97" s="21" t="s">
        <v>193</v>
      </c>
      <c r="C97" s="22" t="s">
        <v>194</v>
      </c>
      <c r="D97" s="22" t="s">
        <v>174</v>
      </c>
      <c r="E97" s="22" t="s">
        <v>195</v>
      </c>
      <c r="F97" s="22">
        <v>0</v>
      </c>
      <c r="G97" s="22">
        <v>0</v>
      </c>
      <c r="H97" s="22">
        <f>-PARAM!$G$7/2</f>
        <v>-700</v>
      </c>
      <c r="I97" s="22">
        <v>0</v>
      </c>
      <c r="J97" s="22">
        <v>0</v>
      </c>
      <c r="K97" s="22">
        <f>PARAM!$J$6</f>
        <v>0</v>
      </c>
    </row>
    <row r="98" spans="1:11" x14ac:dyDescent="0.25">
      <c r="A98" s="12" t="s">
        <v>196</v>
      </c>
      <c r="B98" s="21" t="s">
        <v>193</v>
      </c>
      <c r="C98" s="22" t="s">
        <v>194</v>
      </c>
      <c r="D98" s="22" t="s">
        <v>171</v>
      </c>
      <c r="E98" s="22" t="s">
        <v>195</v>
      </c>
      <c r="F98" s="22">
        <v>0</v>
      </c>
      <c r="G98" s="22">
        <v>0</v>
      </c>
      <c r="H98" s="22">
        <f>(PARAM!$G$7/2+IF(PARAM!$C$6="H",PARAM!$J$15,2*PARAM!$G$18))</f>
        <v>710</v>
      </c>
      <c r="I98" s="22">
        <v>0</v>
      </c>
      <c r="J98" s="22">
        <v>0</v>
      </c>
      <c r="K98" s="22">
        <f>PARAM!$J$6</f>
        <v>0</v>
      </c>
    </row>
    <row r="99" spans="1:11" x14ac:dyDescent="0.25">
      <c r="A99" s="12" t="s">
        <v>19</v>
      </c>
      <c r="B99" s="21" t="s">
        <v>193</v>
      </c>
      <c r="C99" s="22" t="s">
        <v>194</v>
      </c>
      <c r="D99" s="22" t="s">
        <v>175</v>
      </c>
      <c r="E99" s="22" t="s">
        <v>195</v>
      </c>
      <c r="F99" s="22">
        <v>0</v>
      </c>
      <c r="G99" s="22">
        <v>0</v>
      </c>
      <c r="H99" s="22">
        <f>-((PARAM!$G$7/2+IF(PARAM!$C$6="H",PARAM!$J$15,2*PARAM!$G$18))+MAX(1,PARAM!$I$7))</f>
        <v>-1410</v>
      </c>
      <c r="I99" s="22">
        <v>0</v>
      </c>
      <c r="J99" s="22">
        <v>0</v>
      </c>
      <c r="K99" s="22">
        <f>PARAM!$J$6</f>
        <v>0</v>
      </c>
    </row>
    <row r="100" spans="1:11" x14ac:dyDescent="0.25">
      <c r="A100" s="12" t="s">
        <v>197</v>
      </c>
      <c r="B100" s="21" t="s">
        <v>193</v>
      </c>
      <c r="C100" s="22" t="s">
        <v>194</v>
      </c>
      <c r="D100" s="22" t="s">
        <v>178</v>
      </c>
      <c r="E100" s="22" t="s">
        <v>195</v>
      </c>
      <c r="F100" s="22">
        <f>ROUND((IF(PARAM!$C$6="H",(PARAM!$E$6/2+PARAM!$G$15/2),0))*COS(RADIANS(PARAM!$J$6)),6)</f>
        <v>156</v>
      </c>
      <c r="G100" s="22">
        <f>ROUND((IF(PARAM!$C$6="H",(PARAM!$E$6/2+PARAM!$G$15/2),0))*SIN(RADIANS(PARAM!$J$6)),6)</f>
        <v>0</v>
      </c>
      <c r="H100" s="22">
        <f>(PARAM!$G$7/2+IF(PARAM!$C$6="H",PARAM!$J$15/2,PARAM!$G$18))+IF(PARAM!$C$6="H",0,-PARAM!$G$18/2)</f>
        <v>705</v>
      </c>
      <c r="I100" s="22">
        <v>0</v>
      </c>
      <c r="J100" s="22">
        <v>0</v>
      </c>
      <c r="K100" s="22">
        <f>PARAM!$J$6</f>
        <v>0</v>
      </c>
    </row>
    <row r="101" spans="2:11" x14ac:dyDescent="0.25">
      <c r="B101" s="21" t="s">
        <v>193</v>
      </c>
      <c r="C101" s="22" t="s">
        <v>194</v>
      </c>
      <c r="D101" s="22" t="s">
        <v>188</v>
      </c>
      <c r="E101" s="22" t="s">
        <v>195</v>
      </c>
      <c r="F101" s="22">
        <f>ROUND((IF(PARAM!$C$6="H",(PARAM!$E$6/2+PARAM!$G$15/2),0))*COS(RADIANS(PARAM!$J$6)),6)</f>
        <v>156</v>
      </c>
      <c r="G101" s="22">
        <f>ROUND((IF(PARAM!$C$6="H",(PARAM!$E$6/2+PARAM!$G$15/2),0))*SIN(RADIANS(PARAM!$J$6)),6)</f>
        <v>0</v>
      </c>
      <c r="H101" s="22">
        <f>-(PARAM!$G$7/2+IF(PARAM!$C$6="H",PARAM!$J$15/2,PARAM!$G$18))+IF(PARAM!$C$6="H",0,PARAM!$G$18/2)</f>
        <v>-705</v>
      </c>
      <c r="I101" s="22">
        <v>0</v>
      </c>
      <c r="J101" s="22">
        <v>0</v>
      </c>
      <c r="K101" s="22">
        <f>PARAM!$J$6</f>
        <v>0</v>
      </c>
    </row>
    <row r="102" spans="1:1" x14ac:dyDescent="0.25">
      <c r="A102" s="12" t="s">
        <v>134</v>
      </c>
    </row>
    <row r="103" spans="1:1" x14ac:dyDescent="0.25">
      <c r="A103" s="12" t="s">
        <v>198</v>
      </c>
    </row>
    <row r="104" spans="1:14" x14ac:dyDescent="0.25">
      <c r="A104" s="12" t="s">
        <v>199</v>
      </c>
      <c r="B104" s="21" t="s">
        <v>137</v>
      </c>
      <c r="C104" s="22" t="s">
        <v>200</v>
      </c>
      <c r="D104" s="22" t="str">
        <f>PARAM!$C$8</f>
        <v>SS275</v>
      </c>
      <c r="E104" s="22">
        <f>MAX(1,PARAM!$J$35)</f>
        <v>900</v>
      </c>
      <c r="F104" s="22" t="s">
        <v>14</v>
      </c>
      <c r="G104" s="22" t="s">
        <v>139</v>
      </c>
      <c r="H104" s="22">
        <f>PARAM!$E$35</f>
        <v>300</v>
      </c>
      <c r="I104" s="22">
        <f>PARAM!$F$35</f>
        <v>150</v>
      </c>
      <c r="J104" s="22">
        <f>PARAM!$F$35</f>
        <v>150</v>
      </c>
      <c r="K104" s="22">
        <f>PARAM!$G$35</f>
        <v>6.5</v>
      </c>
      <c r="L104" s="22">
        <f>PARAM!$H$35</f>
        <v>9</v>
      </c>
      <c r="M104" s="22">
        <f>PARAM!$H$35</f>
        <v>9</v>
      </c>
      <c r="N104" s="22">
        <f>PARAM!$I$35</f>
        <v>13</v>
      </c>
    </row>
    <row r="105" spans="2:14" x14ac:dyDescent="0.25">
      <c r="B105" s="21" t="s">
        <v>137</v>
      </c>
      <c r="C105" s="22" t="s">
        <v>201</v>
      </c>
      <c r="D105" s="22" t="str">
        <f>PARAM!$C$8</f>
        <v>SS275</v>
      </c>
      <c r="E105" s="22">
        <f>MAX(1,PARAM!$J$36)</f>
        <v>900</v>
      </c>
      <c r="F105" s="22" t="s">
        <v>14</v>
      </c>
      <c r="G105" s="22" t="s">
        <v>139</v>
      </c>
      <c r="H105" s="22">
        <f>PARAM!$E$36</f>
        <v>300</v>
      </c>
      <c r="I105" s="22">
        <f>PARAM!$F$36</f>
        <v>150</v>
      </c>
      <c r="J105" s="22">
        <f>PARAM!$F$36</f>
        <v>150</v>
      </c>
      <c r="K105" s="22">
        <f>PARAM!$G$36</f>
        <v>6.5</v>
      </c>
      <c r="L105" s="22">
        <f>PARAM!$H$36</f>
        <v>9</v>
      </c>
      <c r="M105" s="22">
        <f>PARAM!$H$36</f>
        <v>9</v>
      </c>
      <c r="N105" s="22">
        <f>PARAM!$I$36</f>
        <v>13</v>
      </c>
    </row>
    <row r="106" spans="2:14" x14ac:dyDescent="0.25">
      <c r="B106" s="21" t="s">
        <v>137</v>
      </c>
      <c r="C106" s="22" t="s">
        <v>202</v>
      </c>
      <c r="D106" s="22" t="str">
        <f>PARAM!$C$8</f>
        <v>SS275</v>
      </c>
      <c r="E106" s="22">
        <f>MAX(1,PARAM!$J$37)</f>
        <v>900</v>
      </c>
      <c r="F106" s="22" t="s">
        <v>14</v>
      </c>
      <c r="G106" s="22" t="s">
        <v>139</v>
      </c>
      <c r="H106" s="22">
        <f>PARAM!$E$37</f>
        <v>300</v>
      </c>
      <c r="I106" s="22">
        <f>PARAM!$F$37</f>
        <v>150</v>
      </c>
      <c r="J106" s="22">
        <f>PARAM!$F$37</f>
        <v>150</v>
      </c>
      <c r="K106" s="22">
        <f>PARAM!$G$37</f>
        <v>6.5</v>
      </c>
      <c r="L106" s="22">
        <f>PARAM!$H$37</f>
        <v>9</v>
      </c>
      <c r="M106" s="22">
        <f>PARAM!$H$37</f>
        <v>9</v>
      </c>
      <c r="N106" s="22">
        <f>PARAM!$I$37</f>
        <v>13</v>
      </c>
    </row>
    <row r="107" spans="2:14" x14ac:dyDescent="0.25">
      <c r="B107" s="21" t="s">
        <v>137</v>
      </c>
      <c r="C107" s="22" t="s">
        <v>203</v>
      </c>
      <c r="D107" s="22" t="str">
        <f>PARAM!$C$8</f>
        <v>SS275</v>
      </c>
      <c r="E107" s="22">
        <f>MAX(1,PARAM!$J$38)</f>
        <v>1</v>
      </c>
      <c r="F107" s="22" t="s">
        <v>14</v>
      </c>
      <c r="G107" s="22" t="s">
        <v>139</v>
      </c>
      <c r="H107" s="22">
        <f>PARAM!$E$38</f>
        <v>300</v>
      </c>
      <c r="I107" s="22">
        <f>PARAM!$F$38</f>
        <v>150</v>
      </c>
      <c r="J107" s="22">
        <f>PARAM!$F$38</f>
        <v>150</v>
      </c>
      <c r="K107" s="22">
        <f>PARAM!$G$38</f>
        <v>6.5</v>
      </c>
      <c r="L107" s="22">
        <f>PARAM!$H$38</f>
        <v>9</v>
      </c>
      <c r="M107" s="22">
        <f>PARAM!$H$38</f>
        <v>9</v>
      </c>
      <c r="N107" s="22">
        <f>PARAM!$I$38</f>
        <v>13</v>
      </c>
    </row>
    <row r="108" spans="1:1" x14ac:dyDescent="0.25">
      <c r="A108" s="12" t="s">
        <v>134</v>
      </c>
    </row>
    <row r="109" spans="1:1" x14ac:dyDescent="0.25">
      <c r="A109" s="12" t="s">
        <v>204</v>
      </c>
    </row>
    <row r="110" spans="1:9" x14ac:dyDescent="0.25">
      <c r="A110" s="12" t="s">
        <v>205</v>
      </c>
      <c r="B110" s="21" t="s">
        <v>144</v>
      </c>
      <c r="C110" s="22" t="s">
        <v>206</v>
      </c>
      <c r="D110" s="22" t="str">
        <f>PARAM!$C$8</f>
        <v>SS275</v>
      </c>
      <c r="E110" s="22">
        <f>MAX(1,IFERROR(VLOOKUP(PARAM!$C$35,PARAM!$B$44:$K$49,7,FALSE),0))</f>
        <v>20</v>
      </c>
      <c r="F110" s="22" t="s">
        <v>146</v>
      </c>
      <c r="G110" s="22" t="s">
        <v>139</v>
      </c>
      <c r="H110" s="22">
        <f>MAX(1,IFERROR(VLOOKUP(PARAM!$C$35,PARAM!$B$44:$K$49,5,FALSE),0))</f>
        <v>230</v>
      </c>
      <c r="I110" s="22">
        <f>MAX(1,(IFERROR(VLOOKUP(PARAM!$C$35,PARAM!$B$44:$K$49,10,FALSE),0)*(IFERROR(VLOOKUP(PARAM!$C$35,PARAM!$B$44:$K$49,11,FALSE),0)-1)+2*IFERROR(VLOOKUP(PARAM!$C$35,PARAM!$B$44:$K$49,9,FALSE),0)))</f>
        <v>230</v>
      </c>
    </row>
    <row r="111" spans="2:9" x14ac:dyDescent="0.25">
      <c r="B111" s="21" t="s">
        <v>144</v>
      </c>
      <c r="C111" s="22" t="s">
        <v>207</v>
      </c>
      <c r="D111" s="22" t="str">
        <f>PARAM!$C$8</f>
        <v>SS275</v>
      </c>
      <c r="E111" s="22">
        <f>MAX(1,IFERROR(VLOOKUP(PARAM!$C$36,PARAM!$B$44:$K$49,7,FALSE),0))</f>
        <v>10</v>
      </c>
      <c r="F111" s="22" t="s">
        <v>146</v>
      </c>
      <c r="G111" s="22" t="s">
        <v>139</v>
      </c>
      <c r="H111" s="22">
        <f>MAX(1,IFERROR(VLOOKUP(PARAM!$C$36,PARAM!$B$44:$K$49,5,FALSE),0))</f>
        <v>140</v>
      </c>
      <c r="I111" s="22">
        <f>MAX(1,(IFERROR(VLOOKUP(PARAM!$C$36,PARAM!$B$44:$K$49,10,FALSE),0)*(IFERROR(VLOOKUP(PARAM!$C$36,PARAM!$B$44:$K$49,11,FALSE),0)-1)+2*IFERROR(VLOOKUP(PARAM!$C$36,PARAM!$B$44:$K$49,9,FALSE),0)))</f>
        <v>230</v>
      </c>
    </row>
    <row r="112" spans="2:9" x14ac:dyDescent="0.25">
      <c r="B112" s="21" t="s">
        <v>144</v>
      </c>
      <c r="C112" s="22" t="s">
        <v>208</v>
      </c>
      <c r="D112" s="22" t="str">
        <f>PARAM!$C$8</f>
        <v>SS275</v>
      </c>
      <c r="E112" s="22">
        <f>MAX(1,IFERROR(VLOOKUP(PARAM!$C$37,PARAM!$B$44:$K$49,7,FALSE),0))</f>
        <v>10</v>
      </c>
      <c r="F112" s="22" t="s">
        <v>146</v>
      </c>
      <c r="G112" s="22" t="s">
        <v>139</v>
      </c>
      <c r="H112" s="22">
        <f>MAX(1,IFERROR(VLOOKUP(PARAM!$C$37,PARAM!$B$44:$K$49,5,FALSE),0))</f>
        <v>140</v>
      </c>
      <c r="I112" s="22">
        <f>MAX(1,(IFERROR(VLOOKUP(PARAM!$C$37,PARAM!$B$44:$K$49,10,FALSE),0)*(IFERROR(VLOOKUP(PARAM!$C$37,PARAM!$B$44:$K$49,11,FALSE),0)-1)+2*IFERROR(VLOOKUP(PARAM!$C$37,PARAM!$B$44:$K$49,9,FALSE),0)))</f>
        <v>230</v>
      </c>
    </row>
    <row r="113" spans="2:9" x14ac:dyDescent="0.25">
      <c r="B113" s="21" t="s">
        <v>144</v>
      </c>
      <c r="C113" s="22" t="s">
        <v>209</v>
      </c>
      <c r="D113" s="22" t="str">
        <f>PARAM!$C$8</f>
        <v>SS275</v>
      </c>
      <c r="E113" s="22">
        <f>MAX(1,IFERROR(VLOOKUP(PARAM!$C$38,PARAM!$B$44:$K$49,7,FALSE),0))</f>
        <v>10</v>
      </c>
      <c r="F113" s="22" t="s">
        <v>146</v>
      </c>
      <c r="G113" s="22" t="s">
        <v>139</v>
      </c>
      <c r="H113" s="22">
        <f>MAX(1,IFERROR(VLOOKUP(PARAM!$C$38,PARAM!$B$44:$K$49,5,FALSE),0))</f>
        <v>140</v>
      </c>
      <c r="I113" s="22">
        <f>MAX(1,(IFERROR(VLOOKUP(PARAM!$C$38,PARAM!$B$44:$K$49,10,FALSE),0)*(IFERROR(VLOOKUP(PARAM!$C$38,PARAM!$B$44:$K$49,11,FALSE),0)-1)+2*IFERROR(VLOOKUP(PARAM!$C$38,PARAM!$B$44:$K$49,9,FALSE),0)))</f>
        <v>230</v>
      </c>
    </row>
    <row r="114" spans="1:12" x14ac:dyDescent="0.25">
      <c r="A114" s="12" t="s">
        <v>210</v>
      </c>
      <c r="B114" s="21" t="s">
        <v>152</v>
      </c>
      <c r="C114" s="22" t="s">
        <v>211</v>
      </c>
      <c r="D114" s="22" t="str">
        <f>PARAM!$G$24</f>
        <v>F10T</v>
      </c>
      <c r="E114" s="22">
        <f>PARAM!$E$24</f>
        <v>16</v>
      </c>
      <c r="F114" s="22">
        <f>MAX(1,CEILING(IF(IFERROR(VLOOKUP(PARAM!$C$35,PARAM!$B$44:$K$49,2,FALSE),"")="end plate",IF(PARAM!$C$6="H",IF(MOD(PARAM!$J$6,180)=0,PARAM!$H$6,PARAM!$G$6)+IFERROR(VLOOKUP(PARAM!$C$35,PARAM!$B$44:$K$49,7,FALSE),0),2*IFERROR(VLOOKUP(PARAM!$C$35,PARAM!$B$44:$K$49,7,FALSE),0)),IFERROR(VLOOKUP(PARAM!$C$35,PARAM!$B$44:$K$49,7,FALSE),0)+PARAM!$G$35)+1.1*PARAM!$E$24,5))</f>
        <v>55</v>
      </c>
      <c r="G114" s="22">
        <f>PARAM!$F$24</f>
        <v>18</v>
      </c>
      <c r="H114" s="22"/>
      <c r="I114" s="22"/>
      <c r="J114" s="22"/>
      <c r="K114" s="22">
        <f>0.9*PARAM!$E$24</f>
        <v>14.4</v>
      </c>
      <c r="L114" s="22">
        <f>MAX(0,(CEILING(IF(IFERROR(VLOOKUP(PARAM!$C$35,PARAM!$B$44:$K$49,2,FALSE),"")="end plate",IF(PARAM!$C$6="H",IF(MOD(PARAM!$J$6,180)=0,PARAM!$H$6,PARAM!$G$6)+IFERROR(VLOOKUP(PARAM!$C$35,PARAM!$B$44:$K$49,7,FALSE),0),2*IFERROR(VLOOKUP(PARAM!$C$35,PARAM!$B$44:$K$49,7,FALSE),0)),IFERROR(VLOOKUP(PARAM!$C$35,PARAM!$B$44:$K$49,7,FALSE),0)+PARAM!$G$35)+1.1*PARAM!$E$24,5))-(IF(IFERROR(VLOOKUP(PARAM!$C$35,PARAM!$B$44:$K$49,2,FALSE),"")="end plate",IF(PARAM!$C$6="H",IF(MOD(PARAM!$J$6,180)=0,PARAM!$H$6,PARAM!$G$6)+IFERROR(VLOOKUP(PARAM!$C$35,PARAM!$B$44:$K$49,7,FALSE),0),2*IFERROR(VLOOKUP(PARAM!$C$35,PARAM!$B$44:$K$49,7,FALSE),0)),IFERROR(VLOOKUP(PARAM!$C$35,PARAM!$B$44:$K$49,7,FALSE),0)+PARAM!$G$35))-0.9*PARAM!$E$24)</f>
        <v>5.6</v>
      </c>
    </row>
    <row r="115" spans="2:12" x14ac:dyDescent="0.25">
      <c r="B115" s="21" t="s">
        <v>152</v>
      </c>
      <c r="C115" s="22" t="s">
        <v>212</v>
      </c>
      <c r="D115" s="22" t="str">
        <f>PARAM!$G$24</f>
        <v>F10T</v>
      </c>
      <c r="E115" s="22">
        <f>PARAM!$E$24</f>
        <v>16</v>
      </c>
      <c r="F115" s="22">
        <f>MAX(1,CEILING(IF(IFERROR(VLOOKUP(PARAM!$C$36,PARAM!$B$44:$K$49,2,FALSE),"")="end plate",IF(PARAM!$C$6="H",IF(MOD(PARAM!$J$6,180)=0,PARAM!$H$6,PARAM!$G$6)+IFERROR(VLOOKUP(PARAM!$C$36,PARAM!$B$44:$K$49,7,FALSE),0),2*IFERROR(VLOOKUP(PARAM!$C$36,PARAM!$B$44:$K$49,7,FALSE),0)),IFERROR(VLOOKUP(PARAM!$C$36,PARAM!$B$44:$K$49,7,FALSE),0)+PARAM!$G$36)+1.1*PARAM!$E$24,5))</f>
        <v>35</v>
      </c>
      <c r="G115" s="22">
        <f>PARAM!$F$24</f>
        <v>18</v>
      </c>
      <c r="H115" s="22"/>
      <c r="I115" s="22"/>
      <c r="J115" s="22"/>
      <c r="K115" s="22">
        <f>0.9*PARAM!$E$24</f>
        <v>14.4</v>
      </c>
      <c r="L115" s="22">
        <f>MAX(0,(CEILING(IF(IFERROR(VLOOKUP(PARAM!$C$36,PARAM!$B$44:$K$49,2,FALSE),"")="end plate",IF(PARAM!$C$6="H",IF(MOD(PARAM!$J$6,180)=0,PARAM!$H$6,PARAM!$G$6)+IFERROR(VLOOKUP(PARAM!$C$36,PARAM!$B$44:$K$49,7,FALSE),0),2*IFERROR(VLOOKUP(PARAM!$C$36,PARAM!$B$44:$K$49,7,FALSE),0)),IFERROR(VLOOKUP(PARAM!$C$36,PARAM!$B$44:$K$49,7,FALSE),0)+PARAM!$G$36)+1.1*PARAM!$E$24,5))-(IF(IFERROR(VLOOKUP(PARAM!$C$36,PARAM!$B$44:$K$49,2,FALSE),"")="end plate",IF(PARAM!$C$6="H",IF(MOD(PARAM!$J$6,180)=0,PARAM!$H$6,PARAM!$G$6)+IFERROR(VLOOKUP(PARAM!$C$36,PARAM!$B$44:$K$49,7,FALSE),0),2*IFERROR(VLOOKUP(PARAM!$C$36,PARAM!$B$44:$K$49,7,FALSE),0)),IFERROR(VLOOKUP(PARAM!$C$36,PARAM!$B$44:$K$49,7,FALSE),0)+PARAM!$G$36))-0.9*PARAM!$E$24)</f>
        <v>4.1</v>
      </c>
    </row>
    <row r="116" spans="2:12" x14ac:dyDescent="0.25">
      <c r="B116" s="21" t="s">
        <v>152</v>
      </c>
      <c r="C116" s="22" t="s">
        <v>213</v>
      </c>
      <c r="D116" s="22" t="str">
        <f>PARAM!$G$24</f>
        <v>F10T</v>
      </c>
      <c r="E116" s="22">
        <f>PARAM!$E$24</f>
        <v>16</v>
      </c>
      <c r="F116" s="22">
        <f>MAX(1,CEILING(IF(IFERROR(VLOOKUP(PARAM!$C$37,PARAM!$B$44:$K$49,2,FALSE),"")="end plate",IF(PARAM!$C$6="H",IF(MOD(PARAM!$J$6,180)=0,PARAM!$G$6,PARAM!$H$6)+IFERROR(VLOOKUP(PARAM!$C$37,PARAM!$B$44:$K$49,7,FALSE),0),2*IFERROR(VLOOKUP(PARAM!$C$37,PARAM!$B$44:$K$49,7,FALSE),0)),IFERROR(VLOOKUP(PARAM!$C$37,PARAM!$B$44:$K$49,7,FALSE),0)+PARAM!$G$37)+1.1*PARAM!$E$24,5))</f>
        <v>35</v>
      </c>
      <c r="G116" s="22">
        <f>PARAM!$F$24</f>
        <v>18</v>
      </c>
      <c r="H116" s="22"/>
      <c r="I116" s="22"/>
      <c r="J116" s="22"/>
      <c r="K116" s="22">
        <f>0.9*PARAM!$E$24</f>
        <v>14.4</v>
      </c>
      <c r="L116" s="22">
        <f>MAX(0,(CEILING(IF(IFERROR(VLOOKUP(PARAM!$C$37,PARAM!$B$44:$K$49,2,FALSE),"")="end plate",IF(PARAM!$C$6="H",IF(MOD(PARAM!$J$6,180)=0,PARAM!$G$6,PARAM!$H$6)+IFERROR(VLOOKUP(PARAM!$C$37,PARAM!$B$44:$K$49,7,FALSE),0),2*IFERROR(VLOOKUP(PARAM!$C$37,PARAM!$B$44:$K$49,7,FALSE),0)),IFERROR(VLOOKUP(PARAM!$C$37,PARAM!$B$44:$K$49,7,FALSE),0)+PARAM!$G$37)+1.1*PARAM!$E$24,5))-(IF(IFERROR(VLOOKUP(PARAM!$C$37,PARAM!$B$44:$K$49,2,FALSE),"")="end plate",IF(PARAM!$C$6="H",IF(MOD(PARAM!$J$6,180)=0,PARAM!$G$6,PARAM!$H$6)+IFERROR(VLOOKUP(PARAM!$C$37,PARAM!$B$44:$K$49,7,FALSE),0),2*IFERROR(VLOOKUP(PARAM!$C$37,PARAM!$B$44:$K$49,7,FALSE),0)),IFERROR(VLOOKUP(PARAM!$C$37,PARAM!$B$44:$K$49,7,FALSE),0)+PARAM!$G$37))-0.9*PARAM!$E$24)</f>
        <v>4.1</v>
      </c>
    </row>
    <row r="117" spans="2:12" x14ac:dyDescent="0.25">
      <c r="B117" s="21" t="s">
        <v>152</v>
      </c>
      <c r="C117" s="22" t="s">
        <v>214</v>
      </c>
      <c r="D117" s="22" t="str">
        <f>PARAM!$G$24</f>
        <v>F10T</v>
      </c>
      <c r="E117" s="22">
        <f>PARAM!$E$24</f>
        <v>16</v>
      </c>
      <c r="F117" s="22">
        <f>MAX(1,CEILING(IF(IFERROR(VLOOKUP(PARAM!$C$38,PARAM!$B$44:$K$49,2,FALSE),"")="end plate",IF(PARAM!$C$6="H",IF(MOD(PARAM!$J$6,180)=0,PARAM!$G$6,PARAM!$H$6)+IFERROR(VLOOKUP(PARAM!$C$38,PARAM!$B$44:$K$49,7,FALSE),0),2*IFERROR(VLOOKUP(PARAM!$C$38,PARAM!$B$44:$K$49,7,FALSE),0)),IFERROR(VLOOKUP(PARAM!$C$38,PARAM!$B$44:$K$49,7,FALSE),0)+PARAM!$G$38)+1.1*PARAM!$E$24,5))</f>
        <v>35</v>
      </c>
      <c r="G117" s="22">
        <f>PARAM!$F$24</f>
        <v>18</v>
      </c>
      <c r="H117" s="22"/>
      <c r="I117" s="22"/>
      <c r="J117" s="22"/>
      <c r="K117" s="22">
        <f>0.9*PARAM!$E$24</f>
        <v>14.4</v>
      </c>
      <c r="L117" s="22">
        <f>MAX(0,(CEILING(IF(IFERROR(VLOOKUP(PARAM!$C$38,PARAM!$B$44:$K$49,2,FALSE),"")="end plate",IF(PARAM!$C$6="H",IF(MOD(PARAM!$J$6,180)=0,PARAM!$G$6,PARAM!$H$6)+IFERROR(VLOOKUP(PARAM!$C$38,PARAM!$B$44:$K$49,7,FALSE),0),2*IFERROR(VLOOKUP(PARAM!$C$38,PARAM!$B$44:$K$49,7,FALSE),0)),IFERROR(VLOOKUP(PARAM!$C$38,PARAM!$B$44:$K$49,7,FALSE),0)+PARAM!$G$38)+1.1*PARAM!$E$24,5))-(IF(IFERROR(VLOOKUP(PARAM!$C$38,PARAM!$B$44:$K$49,2,FALSE),"")="end plate",IF(PARAM!$C$6="H",IF(MOD(PARAM!$J$6,180)=0,PARAM!$G$6,PARAM!$H$6)+IFERROR(VLOOKUP(PARAM!$C$38,PARAM!$B$44:$K$49,7,FALSE),0),2*IFERROR(VLOOKUP(PARAM!$C$38,PARAM!$B$44:$K$49,7,FALSE),0)),IFERROR(VLOOKUP(PARAM!$C$38,PARAM!$B$44:$K$49,7,FALSE),0)+PARAM!$G$38))-0.9*PARAM!$E$24)</f>
        <v>4.1</v>
      </c>
    </row>
    <row r="118" spans="1:1" x14ac:dyDescent="0.25">
      <c r="A118" s="12" t="s">
        <v>134</v>
      </c>
    </row>
    <row r="119" spans="1:1" x14ac:dyDescent="0.25">
      <c r="A119" s="12" t="s">
        <v>215</v>
      </c>
    </row>
    <row r="120" spans="1:1" x14ac:dyDescent="0.25">
      <c r="A120" s="12" t="s">
        <v>134</v>
      </c>
    </row>
    <row r="121" spans="1:1" x14ac:dyDescent="0.25">
      <c r="A121" s="12" t="s">
        <v>216</v>
      </c>
    </row>
    <row r="122" spans="1:12" x14ac:dyDescent="0.25">
      <c r="A122" s="12" t="s">
        <v>217</v>
      </c>
      <c r="B122" s="21" t="s">
        <v>170</v>
      </c>
      <c r="C122" s="22" t="s">
        <v>218</v>
      </c>
      <c r="D122" s="22" t="str">
        <f>IF(AND(PARAM!$J$35&gt;0,IFERROR(VLOOKUP(PARAM!$C$35,PARAM!$B$44:$K$49,2,FALSE),"")="end plate"),"pl.cna","")</f>
        <v>pl.cna</v>
      </c>
      <c r="E122" s="22" t="s">
        <v>139</v>
      </c>
      <c r="F122" s="22">
        <f>-IFERROR(VLOOKUP(PARAM!$C$35,PARAM!$B$44:$K$49,7,FALSE),0)/2</f>
        <v>-10</v>
      </c>
      <c r="G122" s="22">
        <f>0</f>
        <v>0</v>
      </c>
      <c r="H122" s="22">
        <v>0</v>
      </c>
      <c r="I122" s="22" t="s">
        <v>180</v>
      </c>
      <c r="J122" s="22">
        <v>0</v>
      </c>
      <c r="K122" s="22">
        <v>0</v>
      </c>
      <c r="L122" s="22">
        <v>0</v>
      </c>
    </row>
    <row r="123" spans="1:12" x14ac:dyDescent="0.25">
      <c r="A123" s="12" t="s">
        <v>219</v>
      </c>
      <c r="B123" s="21" t="s">
        <v>170</v>
      </c>
      <c r="C123" s="22" t="s">
        <v>218</v>
      </c>
      <c r="D123" s="22" t="str">
        <f>IF(AND(PARAM!$J$35&gt;0,IFERROR(VLOOKUP(PARAM!$C$35,PARAM!$B$44:$K$49,2,FALSE),"")="end plate",NOT(PARAM!$C$6="H")),"pl.cna","")</f>
        <v/>
      </c>
      <c r="E123" s="22" t="s">
        <v>139</v>
      </c>
      <c r="F123" s="22">
        <f>-1.5*IFERROR(VLOOKUP(PARAM!$C$35,PARAM!$B$44:$K$49,7,FALSE),0)</f>
        <v>-30</v>
      </c>
      <c r="G123" s="22">
        <f>0</f>
        <v>0</v>
      </c>
      <c r="H123" s="22">
        <v>0</v>
      </c>
      <c r="I123" s="22" t="s">
        <v>180</v>
      </c>
      <c r="J123" s="22">
        <v>0</v>
      </c>
      <c r="K123" s="22">
        <v>0</v>
      </c>
      <c r="L123" s="22">
        <v>0</v>
      </c>
    </row>
    <row r="124" spans="1:12" x14ac:dyDescent="0.25">
      <c r="A124" s="12" t="s">
        <v>220</v>
      </c>
      <c r="B124" s="21" t="s">
        <v>170</v>
      </c>
      <c r="C124" s="22" t="s">
        <v>218</v>
      </c>
      <c r="D124" s="22" t="str">
        <f>IF(AND(PARAM!$J$35&gt;0,IFERROR(VLOOKUP(PARAM!$C$35,PARAM!$B$44:$K$49,2,FALSE),"")="fin plate"),"pl.cna","")</f>
        <v/>
      </c>
      <c r="E124" s="22" t="s">
        <v>139</v>
      </c>
      <c r="F124" s="22">
        <f>IFERROR(VLOOKUP(PARAM!$C$35,PARAM!$B$44:$K$49,5,FALSE),0)/2-IFERROR(VLOOKUP(PARAM!$C$35,PARAM!$B$44:$K$49,4,FALSE),0)</f>
        <v>115</v>
      </c>
      <c r="G124" s="22">
        <f>PARAM!$G$35/2+IFERROR(VLOOKUP(PARAM!$C$35,PARAM!$B$44:$K$49,7,FALSE),0)/2</f>
        <v>13.25</v>
      </c>
      <c r="H124" s="22">
        <v>0</v>
      </c>
      <c r="I124" s="22" t="s">
        <v>182</v>
      </c>
      <c r="J124" s="22">
        <v>0</v>
      </c>
      <c r="K124" s="22">
        <v>0</v>
      </c>
      <c r="L124" s="22">
        <v>0</v>
      </c>
    </row>
    <row r="125" spans="1:12" x14ac:dyDescent="0.25">
      <c r="A125" s="12" t="s">
        <v>221</v>
      </c>
      <c r="B125" s="21" t="s">
        <v>170</v>
      </c>
      <c r="C125" s="22" t="s">
        <v>218</v>
      </c>
      <c r="D125" s="22" t="str">
        <f>IF(PARAM!$J$35&gt;0,"sc.bma","")</f>
        <v>sc.bma</v>
      </c>
      <c r="E125" s="22"/>
      <c r="F125" s="22">
        <v>0</v>
      </c>
      <c r="G125" s="22">
        <v>0</v>
      </c>
      <c r="H125" s="22">
        <v>0</v>
      </c>
      <c r="I125" s="22" t="s">
        <v>180</v>
      </c>
      <c r="J125" s="22">
        <v>0</v>
      </c>
      <c r="K125" s="22">
        <v>0</v>
      </c>
      <c r="L125" s="22">
        <v>0</v>
      </c>
    </row>
    <row r="126" spans="1:20" x14ac:dyDescent="0.25">
      <c r="A126" s="12" t="s">
        <v>222</v>
      </c>
      <c r="B126" s="21" t="s">
        <v>170</v>
      </c>
      <c r="C126" s="22" t="s">
        <v>218</v>
      </c>
      <c r="D126" s="22" t="str">
        <f>IF(OR(PARAM!$J$35&lt;=0,AND(NOT(IFERROR(VLOOKUP(PARAM!$C$35,PARAM!$B$44:$K$49,2,FALSE),"")="end plate"),NOT(IFERROR(VLOOKUP(PARAM!$C$35,PARAM!$B$44:$K$49,2,FALSE),"")="fin plate"))),"","bo.cna")</f>
        <v>bo.cna</v>
      </c>
      <c r="E126" s="22"/>
      <c r="F126" s="22">
        <f>IF(IFERROR(VLOOKUP(PARAM!$C$35,PARAM!$B$44:$K$49,2,FALSE),"")="end plate",IF(PARAM!$C$6="H",-((IF(MOD(PARAM!$J$6,180)=0,PARAM!$H$6,PARAM!$G$6))+IFERROR(VLOOKUP(PARAM!$C$35,PARAM!$B$44:$K$49,7,FALSE),0)),-2*IFERROR(VLOOKUP(PARAM!$C$35,PARAM!$B$44:$K$49,7,FALSE),0)),IFERROR(VLOOKUP(PARAM!$C$35,PARAM!$B$44:$K$49,8,FALSE),0)-IFERROR(VLOOKUP(PARAM!$C$35,PARAM!$B$44:$K$49,4,FALSE),0))</f>
        <v>-35</v>
      </c>
      <c r="G126" s="22">
        <f>IF(IFERROR(VLOOKUP(PARAM!$C$35,PARAM!$B$44:$K$49,2,FALSE),"")="end plate",-IFERROR(VLOOKUP(PARAM!$C$35,PARAM!$B$44:$K$49,8,FALSE),0)/2,PARAM!$G$35/2+IFERROR(VLOOKUP(PARAM!$C$35,PARAM!$B$44:$K$49,7,FALSE),0))</f>
        <v>-70</v>
      </c>
      <c r="H126" s="22">
        <f>-IFERROR(VLOOKUP(PARAM!$C$35,PARAM!$B$44:$K$49,10,FALSE),0)*(IFERROR(VLOOKUP(PARAM!$C$35,PARAM!$B$44:$K$49,11,FALSE),0)-1)/2</f>
        <v>-70</v>
      </c>
      <c r="I126" s="22" t="str">
        <f>IF(IFERROR(VLOOKUP(PARAM!$C$35,PARAM!$B$44:$K$49,2,FALSE),"")="end plate","YZ","XZ")</f>
        <v>YZ</v>
      </c>
      <c r="J126" s="22">
        <v>0</v>
      </c>
      <c r="K126" s="22">
        <v>0</v>
      </c>
      <c r="L126" s="22">
        <v>0</v>
      </c>
      <c r="M126" s="22">
        <f>0</f>
        <v>0</v>
      </c>
      <c r="N126" s="22">
        <f>IF(IFERROR(VLOOKUP(PARAM!$C$35,PARAM!$B$44:$K$49,2,FALSE),"")="end plate",IFERROR(VLOOKUP(PARAM!$C$35,PARAM!$B$44:$K$49,8,FALSE),0),0)</f>
        <v>140</v>
      </c>
      <c r="O126" s="22">
        <v>0</v>
      </c>
      <c r="P126" s="22">
        <f>IF(IFERROR(VLOOKUP(PARAM!$C$35,PARAM!$B$44:$K$49,2,FALSE),"")="end plate",1,0)</f>
        <v>1</v>
      </c>
      <c r="Q126" s="22">
        <v>0</v>
      </c>
      <c r="R126" s="22">
        <v>0</v>
      </c>
      <c r="S126" s="22">
        <f>IFERROR(VLOOKUP(PARAM!$C$35,PARAM!$B$44:$K$49,10,FALSE),0)</f>
        <v>70</v>
      </c>
      <c r="T126" s="22">
        <f>IFERROR(VLOOKUP(PARAM!$C$35,PARAM!$B$44:$K$49,11,FALSE),0)-1</f>
        <v>2</v>
      </c>
    </row>
    <row r="127" spans="2:6" x14ac:dyDescent="0.25">
      <c r="B127" s="21" t="s">
        <v>170</v>
      </c>
      <c r="C127" s="22" t="s">
        <v>218</v>
      </c>
      <c r="D127" s="22" t="s">
        <v>173</v>
      </c>
      <c r="E127" s="22" t="s">
        <v>200</v>
      </c>
      <c r="F127" s="22" t="s">
        <v>139</v>
      </c>
    </row>
    <row r="128" spans="1:1" x14ac:dyDescent="0.25">
      <c r="A128" s="12" t="s">
        <v>134</v>
      </c>
    </row>
    <row r="129" spans="1:1" x14ac:dyDescent="0.25">
      <c r="A129" s="12" t="s">
        <v>223</v>
      </c>
    </row>
    <row r="130" spans="2:12" x14ac:dyDescent="0.25">
      <c r="B130" s="21" t="s">
        <v>170</v>
      </c>
      <c r="C130" s="22" t="s">
        <v>224</v>
      </c>
      <c r="D130" s="22" t="str">
        <f>IF(AND(PARAM!$J$36&gt;0,IFERROR(VLOOKUP(PARAM!$C$36,PARAM!$B$44:$K$49,2,FALSE),"")="end plate"),"pl.cnb","")</f>
        <v/>
      </c>
      <c r="E130" s="22" t="s">
        <v>139</v>
      </c>
      <c r="F130" s="22">
        <f>-(-IFERROR(VLOOKUP(PARAM!$C$36,PARAM!$B$44:$K$49,7,FALSE),0)/2)</f>
        <v>5</v>
      </c>
      <c r="G130" s="22">
        <f>0</f>
        <v>0</v>
      </c>
      <c r="H130" s="22">
        <v>0</v>
      </c>
      <c r="I130" s="22" t="s">
        <v>180</v>
      </c>
      <c r="J130" s="22">
        <v>0</v>
      </c>
      <c r="K130" s="22">
        <v>0</v>
      </c>
      <c r="L130" s="22">
        <v>180</v>
      </c>
    </row>
    <row r="131" spans="2:12" x14ac:dyDescent="0.25">
      <c r="B131" s="21" t="s">
        <v>170</v>
      </c>
      <c r="C131" s="22" t="s">
        <v>224</v>
      </c>
      <c r="D131" s="22" t="str">
        <f>IF(AND(PARAM!$J$36&gt;0,IFERROR(VLOOKUP(PARAM!$C$36,PARAM!$B$44:$K$49,2,FALSE),"")="end plate",NOT(PARAM!$C$6="H")),"pl.cnb","")</f>
        <v/>
      </c>
      <c r="E131" s="22" t="s">
        <v>139</v>
      </c>
      <c r="F131" s="22">
        <f>-(-1.5*IFERROR(VLOOKUP(PARAM!$C$36,PARAM!$B$44:$K$49,7,FALSE),0))</f>
        <v>15</v>
      </c>
      <c r="G131" s="22">
        <f>0</f>
        <v>0</v>
      </c>
      <c r="H131" s="22">
        <v>0</v>
      </c>
      <c r="I131" s="22" t="s">
        <v>180</v>
      </c>
      <c r="J131" s="22">
        <v>0</v>
      </c>
      <c r="K131" s="22">
        <v>0</v>
      </c>
      <c r="L131" s="22">
        <v>180</v>
      </c>
    </row>
    <row r="132" spans="2:12" x14ac:dyDescent="0.25">
      <c r="B132" s="21" t="s">
        <v>170</v>
      </c>
      <c r="C132" s="22" t="s">
        <v>224</v>
      </c>
      <c r="D132" s="22" t="str">
        <f>IF(AND(PARAM!$J$36&gt;0,IFERROR(VLOOKUP(PARAM!$C$36,PARAM!$B$44:$K$49,2,FALSE),"")="fin plate"),"pl.cnb","")</f>
        <v>pl.cnb</v>
      </c>
      <c r="E132" s="22" t="s">
        <v>139</v>
      </c>
      <c r="F132" s="22">
        <f>-(IFERROR(VLOOKUP(PARAM!$C$36,PARAM!$B$44:$K$49,5,FALSE),0)/2-IFERROR(VLOOKUP(PARAM!$C$36,PARAM!$B$44:$K$49,4,FALSE),0))</f>
        <v>-60</v>
      </c>
      <c r="G132" s="22">
        <f>-(PARAM!$G$36/2+IFERROR(VLOOKUP(PARAM!$C$36,PARAM!$B$44:$K$49,7,FALSE),0)/2)</f>
        <v>-8.25</v>
      </c>
      <c r="H132" s="22">
        <v>0</v>
      </c>
      <c r="I132" s="22" t="s">
        <v>182</v>
      </c>
      <c r="J132" s="22">
        <v>0</v>
      </c>
      <c r="K132" s="22">
        <v>0</v>
      </c>
      <c r="L132" s="22">
        <v>180</v>
      </c>
    </row>
    <row r="133" spans="2:12" x14ac:dyDescent="0.25">
      <c r="B133" s="21" t="s">
        <v>170</v>
      </c>
      <c r="C133" s="22" t="s">
        <v>224</v>
      </c>
      <c r="D133" s="22" t="str">
        <f>IF(PARAM!$J$36&gt;0,"sc.bmb","")</f>
        <v>sc.bmb</v>
      </c>
      <c r="E133" s="22"/>
      <c r="F133" s="22">
        <v>0</v>
      </c>
      <c r="G133" s="22">
        <v>0</v>
      </c>
      <c r="H133" s="22">
        <v>0</v>
      </c>
      <c r="I133" s="22" t="s">
        <v>180</v>
      </c>
      <c r="J133" s="22">
        <v>0</v>
      </c>
      <c r="K133" s="22">
        <v>0</v>
      </c>
      <c r="L133" s="22">
        <v>180</v>
      </c>
    </row>
    <row r="134" spans="2:20" x14ac:dyDescent="0.25">
      <c r="B134" s="21" t="s">
        <v>170</v>
      </c>
      <c r="C134" s="22" t="s">
        <v>224</v>
      </c>
      <c r="D134" s="22" t="str">
        <f>IF(OR(PARAM!$J$36&lt;=0,AND(NOT(IFERROR(VLOOKUP(PARAM!$C$36,PARAM!$B$44:$K$49,2,FALSE),"")="end plate"),NOT(IFERROR(VLOOKUP(PARAM!$C$36,PARAM!$B$44:$K$49,2,FALSE),"")="fin plate"))),"","bo.cnb")</f>
        <v>bo.cnb</v>
      </c>
      <c r="E134" s="22"/>
      <c r="F134" s="22">
        <f>-(IF(IFERROR(VLOOKUP(PARAM!$C$36,PARAM!$B$44:$K$49,2,FALSE),"")="end plate",IF(PARAM!$C$6="H",-((IF(MOD(PARAM!$J$6,180)=0,PARAM!$H$6,PARAM!$G$6))+IFERROR(VLOOKUP(PARAM!$C$36,PARAM!$B$44:$K$49,7,FALSE),0)),-2*IFERROR(VLOOKUP(PARAM!$C$36,PARAM!$B$44:$K$49,7,FALSE),0)),IFERROR(VLOOKUP(PARAM!$C$36,PARAM!$B$44:$K$49,8,FALSE),0)-IFERROR(VLOOKUP(PARAM!$C$36,PARAM!$B$44:$K$49,4,FALSE),0)))</f>
        <v>-50</v>
      </c>
      <c r="G134" s="22">
        <f>-(IF(IFERROR(VLOOKUP(PARAM!$C$36,PARAM!$B$44:$K$49,2,FALSE),"")="end plate",-IFERROR(VLOOKUP(PARAM!$C$36,PARAM!$B$44:$K$49,8,FALSE),0)/2,PARAM!$G$36/2+IFERROR(VLOOKUP(PARAM!$C$36,PARAM!$B$44:$K$49,7,FALSE),0)))</f>
        <v>-13.25</v>
      </c>
      <c r="H134" s="22">
        <f>-IFERROR(VLOOKUP(PARAM!$C$36,PARAM!$B$44:$K$49,10,FALSE),0)*(IFERROR(VLOOKUP(PARAM!$C$36,PARAM!$B$44:$K$49,11,FALSE),0)-1)/2</f>
        <v>-70</v>
      </c>
      <c r="I134" s="22" t="str">
        <f>IF(IFERROR(VLOOKUP(PARAM!$C$36,PARAM!$B$44:$K$49,2,FALSE),"")="end plate","YZ","XZ")</f>
        <v>XZ</v>
      </c>
      <c r="J134" s="22">
        <v>0</v>
      </c>
      <c r="K134" s="22">
        <v>0</v>
      </c>
      <c r="L134" s="22">
        <v>180</v>
      </c>
      <c r="M134" s="22">
        <f>0</f>
        <v>0</v>
      </c>
      <c r="N134" s="22">
        <f>-(IF(IFERROR(VLOOKUP(PARAM!$C$36,PARAM!$B$44:$K$49,2,FALSE),"")="end plate",IFERROR(VLOOKUP(PARAM!$C$36,PARAM!$B$44:$K$49,8,FALSE),0),0))</f>
        <v>0</v>
      </c>
      <c r="O134" s="22">
        <v>0</v>
      </c>
      <c r="P134" s="22">
        <f>IF(IFERROR(VLOOKUP(PARAM!$C$36,PARAM!$B$44:$K$49,2,FALSE),"")="end plate",1,0)</f>
        <v>0</v>
      </c>
      <c r="Q134" s="22">
        <v>0</v>
      </c>
      <c r="R134" s="22">
        <v>0</v>
      </c>
      <c r="S134" s="22">
        <f>IFERROR(VLOOKUP(PARAM!$C$36,PARAM!$B$44:$K$49,10,FALSE),0)</f>
        <v>70</v>
      </c>
      <c r="T134" s="22">
        <f>IFERROR(VLOOKUP(PARAM!$C$36,PARAM!$B$44:$K$49,11,FALSE),0)-1</f>
        <v>2</v>
      </c>
    </row>
    <row r="135" spans="2:6" x14ac:dyDescent="0.25">
      <c r="B135" s="21" t="s">
        <v>170</v>
      </c>
      <c r="C135" s="22" t="s">
        <v>224</v>
      </c>
      <c r="D135" s="22" t="s">
        <v>173</v>
      </c>
      <c r="E135" s="22" t="s">
        <v>201</v>
      </c>
      <c r="F135" s="22" t="s">
        <v>139</v>
      </c>
    </row>
    <row r="136" spans="1:1" x14ac:dyDescent="0.25">
      <c r="A136" s="12" t="s">
        <v>134</v>
      </c>
    </row>
    <row r="137" spans="1:1" x14ac:dyDescent="0.25">
      <c r="A137" s="12" t="s">
        <v>225</v>
      </c>
    </row>
    <row r="138" spans="2:12" x14ac:dyDescent="0.25">
      <c r="B138" s="21" t="s">
        <v>170</v>
      </c>
      <c r="C138" s="22" t="s">
        <v>226</v>
      </c>
      <c r="D138" s="22" t="str">
        <f>IF(AND(PARAM!$J$37&gt;0,IFERROR(VLOOKUP(PARAM!$C$37,PARAM!$B$44:$K$49,2,FALSE),"")="end plate"),"pl.cnc","")</f>
        <v/>
      </c>
      <c r="E138" s="22" t="s">
        <v>139</v>
      </c>
      <c r="F138" s="22">
        <f>0</f>
        <v>0</v>
      </c>
      <c r="G138" s="22">
        <f>-IFERROR(VLOOKUP(PARAM!$C$37,PARAM!$B$44:$K$49,7,FALSE),0)/2</f>
        <v>-5</v>
      </c>
      <c r="H138" s="22">
        <v>0</v>
      </c>
      <c r="I138" s="22" t="s">
        <v>182</v>
      </c>
      <c r="J138" s="22">
        <v>0</v>
      </c>
      <c r="K138" s="22">
        <v>0</v>
      </c>
      <c r="L138" s="22">
        <v>180</v>
      </c>
    </row>
    <row r="139" spans="2:12" x14ac:dyDescent="0.25">
      <c r="B139" s="21" t="s">
        <v>170</v>
      </c>
      <c r="C139" s="22" t="s">
        <v>226</v>
      </c>
      <c r="D139" s="22" t="str">
        <f>IF(AND(PARAM!$J$37&gt;0,IFERROR(VLOOKUP(PARAM!$C$37,PARAM!$B$44:$K$49,2,FALSE),"")="end plate",NOT(PARAM!$C$6="H")),"pl.cnc","")</f>
        <v/>
      </c>
      <c r="E139" s="22" t="s">
        <v>139</v>
      </c>
      <c r="F139" s="22">
        <f>0</f>
        <v>0</v>
      </c>
      <c r="G139" s="22">
        <f>-1.5*IFERROR(VLOOKUP(PARAM!$C$37,PARAM!$B$44:$K$49,7,FALSE),0)</f>
        <v>-15</v>
      </c>
      <c r="H139" s="22">
        <v>0</v>
      </c>
      <c r="I139" s="22" t="s">
        <v>182</v>
      </c>
      <c r="J139" s="22">
        <v>0</v>
      </c>
      <c r="K139" s="22">
        <v>0</v>
      </c>
      <c r="L139" s="22">
        <v>180</v>
      </c>
    </row>
    <row r="140" spans="2:12" x14ac:dyDescent="0.25">
      <c r="B140" s="21" t="s">
        <v>170</v>
      </c>
      <c r="C140" s="22" t="s">
        <v>226</v>
      </c>
      <c r="D140" s="22" t="str">
        <f>IF(AND(PARAM!$J$37&gt;0,IFERROR(VLOOKUP(PARAM!$C$37,PARAM!$B$44:$K$49,2,FALSE),"")="fin plate"),"pl.cnc","")</f>
        <v>pl.cnc</v>
      </c>
      <c r="E140" s="22" t="s">
        <v>139</v>
      </c>
      <c r="F140" s="22">
        <f>PARAM!$G$37/2+IFERROR(VLOOKUP(PARAM!$C$37,PARAM!$B$44:$K$49,7,FALSE),0)/2</f>
        <v>8.25</v>
      </c>
      <c r="G140" s="22">
        <f>IFERROR(VLOOKUP(PARAM!$C$37,PARAM!$B$44:$K$49,5,FALSE),0)/2-IFERROR(VLOOKUP(PARAM!$C$37,PARAM!$B$44:$K$49,4,FALSE),0)</f>
        <v>60</v>
      </c>
      <c r="H140" s="22">
        <v>0</v>
      </c>
      <c r="I140" s="22" t="s">
        <v>180</v>
      </c>
      <c r="J140" s="22">
        <v>0</v>
      </c>
      <c r="K140" s="22">
        <v>0</v>
      </c>
      <c r="L140" s="22">
        <v>180</v>
      </c>
    </row>
    <row r="141" spans="2:12" x14ac:dyDescent="0.25">
      <c r="B141" s="21" t="s">
        <v>170</v>
      </c>
      <c r="C141" s="22" t="s">
        <v>226</v>
      </c>
      <c r="D141" s="22" t="str">
        <f>IF(PARAM!$J$37&gt;0,"sc.bmc","")</f>
        <v>sc.bmc</v>
      </c>
      <c r="E141" s="22"/>
      <c r="F141" s="22">
        <v>0</v>
      </c>
      <c r="G141" s="22">
        <v>0</v>
      </c>
      <c r="H141" s="22">
        <v>0</v>
      </c>
      <c r="I141" s="22" t="s">
        <v>182</v>
      </c>
      <c r="J141" s="22">
        <v>0</v>
      </c>
      <c r="K141" s="22">
        <v>0</v>
      </c>
      <c r="L141" s="22">
        <v>180</v>
      </c>
    </row>
    <row r="142" spans="2:20" x14ac:dyDescent="0.25">
      <c r="B142" s="21" t="s">
        <v>170</v>
      </c>
      <c r="C142" s="22" t="s">
        <v>226</v>
      </c>
      <c r="D142" s="22" t="str">
        <f>IF(OR(PARAM!$J$37&lt;=0,AND(NOT(IFERROR(VLOOKUP(PARAM!$C$37,PARAM!$B$44:$K$49,2,FALSE),"")="end plate"),NOT(IFERROR(VLOOKUP(PARAM!$C$37,PARAM!$B$44:$K$49,2,FALSE),"")="fin plate"))),"","bo.cnc")</f>
        <v>bo.cnc</v>
      </c>
      <c r="E142" s="22"/>
      <c r="F142" s="22">
        <f>IF(IFERROR(VLOOKUP(PARAM!$C$37,PARAM!$B$44:$K$49,2,FALSE),"")="end plate",-IFERROR(VLOOKUP(PARAM!$C$37,PARAM!$B$44:$K$49,8,FALSE),0)/2,PARAM!$G$37/2+IFERROR(VLOOKUP(PARAM!$C$37,PARAM!$B$44:$K$49,7,FALSE),0))</f>
        <v>13.25</v>
      </c>
      <c r="G142" s="22">
        <f>IF(IFERROR(VLOOKUP(PARAM!$C$37,PARAM!$B$44:$K$49,2,FALSE),"")="end plate",IF(PARAM!$C$6="H",-((IF(MOD(PARAM!$J$6,180)=0,PARAM!$G$6,PARAM!$H$6))+IFERROR(VLOOKUP(PARAM!$C$37,PARAM!$B$44:$K$49,7,FALSE),0)),-2*IFERROR(VLOOKUP(PARAM!$C$37,PARAM!$B$44:$K$49,7,FALSE),0)),IFERROR(VLOOKUP(PARAM!$C$37,PARAM!$B$44:$K$49,8,FALSE),0)-IFERROR(VLOOKUP(PARAM!$C$37,PARAM!$B$44:$K$49,4,FALSE),0))</f>
        <v>50</v>
      </c>
      <c r="H142" s="22">
        <f>-IFERROR(VLOOKUP(PARAM!$C$37,PARAM!$B$44:$K$49,10,FALSE),0)*(IFERROR(VLOOKUP(PARAM!$C$37,PARAM!$B$44:$K$49,11,FALSE),0)-1)/2</f>
        <v>-70</v>
      </c>
      <c r="I142" s="22" t="str">
        <f>IF(IFERROR(VLOOKUP(PARAM!$C$37,PARAM!$B$44:$K$49,2,FALSE),"")="end plate","XZ","YZ")</f>
        <v>YZ</v>
      </c>
      <c r="J142" s="22">
        <v>0</v>
      </c>
      <c r="K142" s="22">
        <v>0</v>
      </c>
      <c r="L142" s="22">
        <v>180</v>
      </c>
      <c r="M142" s="22">
        <f>IF(IFERROR(VLOOKUP(PARAM!$C$37,PARAM!$B$44:$K$49,2,FALSE),"")="end plate",IFERROR(VLOOKUP(PARAM!$C$37,PARAM!$B$44:$K$49,8,FALSE),0),0)</f>
        <v>0</v>
      </c>
      <c r="N142" s="22">
        <f>0</f>
        <v>0</v>
      </c>
      <c r="O142" s="22">
        <v>0</v>
      </c>
      <c r="P142" s="22">
        <f>IF(IFERROR(VLOOKUP(PARAM!$C$37,PARAM!$B$44:$K$49,2,FALSE),"")="end plate",1,0)</f>
        <v>0</v>
      </c>
      <c r="Q142" s="22">
        <v>0</v>
      </c>
      <c r="R142" s="22">
        <v>0</v>
      </c>
      <c r="S142" s="22">
        <f>IFERROR(VLOOKUP(PARAM!$C$37,PARAM!$B$44:$K$49,10,FALSE),0)</f>
        <v>70</v>
      </c>
      <c r="T142" s="22">
        <f>IFERROR(VLOOKUP(PARAM!$C$37,PARAM!$B$44:$K$49,11,FALSE),0)-1</f>
        <v>2</v>
      </c>
    </row>
    <row r="143" spans="2:6" x14ac:dyDescent="0.25">
      <c r="B143" s="21" t="s">
        <v>170</v>
      </c>
      <c r="C143" s="22" t="s">
        <v>226</v>
      </c>
      <c r="D143" s="22" t="s">
        <v>173</v>
      </c>
      <c r="E143" s="22" t="s">
        <v>202</v>
      </c>
      <c r="F143" s="22" t="s">
        <v>139</v>
      </c>
    </row>
    <row r="144" spans="1:1" x14ac:dyDescent="0.25">
      <c r="A144" s="12" t="s">
        <v>134</v>
      </c>
    </row>
    <row r="145" spans="1:1" x14ac:dyDescent="0.25">
      <c r="A145" s="12" t="s">
        <v>227</v>
      </c>
    </row>
    <row r="146" spans="2:12" x14ac:dyDescent="0.25">
      <c r="B146" s="21" t="s">
        <v>170</v>
      </c>
      <c r="C146" s="22" t="s">
        <v>228</v>
      </c>
      <c r="D146" s="22" t="str">
        <f>IF(AND(PARAM!$J$38&gt;0,IFERROR(VLOOKUP(PARAM!$C$38,PARAM!$B$44:$K$49,2,FALSE),"")="end plate"),"pl.cnd","")</f>
        <v/>
      </c>
      <c r="E146" s="22" t="s">
        <v>139</v>
      </c>
      <c r="F146" s="22">
        <f>0</f>
        <v>0</v>
      </c>
      <c r="G146" s="22">
        <f>-(-IFERROR(VLOOKUP(PARAM!$C$38,PARAM!$B$44:$K$49,7,FALSE),0)/2)</f>
        <v>5</v>
      </c>
      <c r="H146" s="22">
        <v>0</v>
      </c>
      <c r="I146" s="22" t="s">
        <v>182</v>
      </c>
      <c r="J146" s="22">
        <v>0</v>
      </c>
      <c r="K146" s="22">
        <v>0</v>
      </c>
      <c r="L146" s="22">
        <v>0</v>
      </c>
    </row>
    <row r="147" spans="2:12" x14ac:dyDescent="0.25">
      <c r="B147" s="21" t="s">
        <v>170</v>
      </c>
      <c r="C147" s="22" t="s">
        <v>228</v>
      </c>
      <c r="D147" s="22" t="str">
        <f>IF(AND(PARAM!$J$38&gt;0,IFERROR(VLOOKUP(PARAM!$C$38,PARAM!$B$44:$K$49,2,FALSE),"")="end plate",NOT(PARAM!$C$6="H")),"pl.cnd","")</f>
        <v/>
      </c>
      <c r="E147" s="22" t="s">
        <v>139</v>
      </c>
      <c r="F147" s="22">
        <f>0</f>
        <v>0</v>
      </c>
      <c r="G147" s="22">
        <f>-(-1.5*IFERROR(VLOOKUP(PARAM!$C$38,PARAM!$B$44:$K$49,7,FALSE),0))</f>
        <v>15</v>
      </c>
      <c r="H147" s="22">
        <v>0</v>
      </c>
      <c r="I147" s="22" t="s">
        <v>182</v>
      </c>
      <c r="J147" s="22">
        <v>0</v>
      </c>
      <c r="K147" s="22">
        <v>0</v>
      </c>
      <c r="L147" s="22">
        <v>0</v>
      </c>
    </row>
    <row r="148" spans="2:12" x14ac:dyDescent="0.25">
      <c r="B148" s="21" t="s">
        <v>170</v>
      </c>
      <c r="C148" s="22" t="s">
        <v>228</v>
      </c>
      <c r="D148" s="22" t="str">
        <f>IF(AND(PARAM!$J$38&gt;0,IFERROR(VLOOKUP(PARAM!$C$38,PARAM!$B$44:$K$49,2,FALSE),"")="fin plate"),"pl.cnd","")</f>
        <v/>
      </c>
      <c r="E148" s="22" t="s">
        <v>139</v>
      </c>
      <c r="F148" s="22">
        <f>-(PARAM!$G$38/2+IFERROR(VLOOKUP(PARAM!$C$38,PARAM!$B$44:$K$49,7,FALSE),0)/2)</f>
        <v>-8.25</v>
      </c>
      <c r="G148" s="22">
        <f>-(IFERROR(VLOOKUP(PARAM!$C$38,PARAM!$B$44:$K$49,5,FALSE),0)/2-IFERROR(VLOOKUP(PARAM!$C$38,PARAM!$B$44:$K$49,4,FALSE),0))</f>
        <v>-60</v>
      </c>
      <c r="H148" s="22">
        <v>0</v>
      </c>
      <c r="I148" s="22" t="s">
        <v>180</v>
      </c>
      <c r="J148" s="22">
        <v>0</v>
      </c>
      <c r="K148" s="22">
        <v>0</v>
      </c>
      <c r="L148" s="22">
        <v>0</v>
      </c>
    </row>
    <row r="149" spans="2:12" x14ac:dyDescent="0.25">
      <c r="B149" s="21" t="s">
        <v>170</v>
      </c>
      <c r="C149" s="22" t="s">
        <v>228</v>
      </c>
      <c r="D149" s="22" t="str">
        <f>IF(PARAM!$J$38&gt;0,"sc.bmd","")</f>
        <v/>
      </c>
      <c r="E149" s="22"/>
      <c r="F149" s="22">
        <v>0</v>
      </c>
      <c r="G149" s="22">
        <v>0</v>
      </c>
      <c r="H149" s="22">
        <v>0</v>
      </c>
      <c r="I149" s="22" t="s">
        <v>182</v>
      </c>
      <c r="J149" s="22">
        <v>0</v>
      </c>
      <c r="K149" s="22">
        <v>0</v>
      </c>
      <c r="L149" s="22">
        <v>0</v>
      </c>
    </row>
    <row r="150" spans="2:20" x14ac:dyDescent="0.25">
      <c r="B150" s="21" t="s">
        <v>170</v>
      </c>
      <c r="C150" s="22" t="s">
        <v>228</v>
      </c>
      <c r="D150" s="22" t="str">
        <f>IF(OR(PARAM!$J$38&lt;=0,AND(NOT(IFERROR(VLOOKUP(PARAM!$C$38,PARAM!$B$44:$K$49,2,FALSE),"")="end plate"),NOT(IFERROR(VLOOKUP(PARAM!$C$38,PARAM!$B$44:$K$49,2,FALSE),"")="fin plate"))),"","bo.cnd")</f>
        <v/>
      </c>
      <c r="E150" s="22"/>
      <c r="F150" s="22">
        <f>-(IF(IFERROR(VLOOKUP(PARAM!$C$38,PARAM!$B$44:$K$49,2,FALSE),"")="end plate",-IFERROR(VLOOKUP(PARAM!$C$38,PARAM!$B$44:$K$49,8,FALSE),0)/2,PARAM!$G$38/2+IFERROR(VLOOKUP(PARAM!$C$38,PARAM!$B$44:$K$49,7,FALSE),0)))</f>
        <v>-13.25</v>
      </c>
      <c r="G150" s="22">
        <f>-(IF(IFERROR(VLOOKUP(PARAM!$C$38,PARAM!$B$44:$K$49,2,FALSE),"")="end plate",IF(PARAM!$C$6="H",-((IF(MOD(PARAM!$J$6,180)=0,PARAM!$G$6,PARAM!$H$6))+IFERROR(VLOOKUP(PARAM!$C$38,PARAM!$B$44:$K$49,7,FALSE),0)),-2*IFERROR(VLOOKUP(PARAM!$C$38,PARAM!$B$44:$K$49,7,FALSE),0)),IFERROR(VLOOKUP(PARAM!$C$38,PARAM!$B$44:$K$49,8,FALSE),0)-IFERROR(VLOOKUP(PARAM!$C$38,PARAM!$B$44:$K$49,4,FALSE),0)))</f>
        <v>-50</v>
      </c>
      <c r="H150" s="22">
        <f>-IFERROR(VLOOKUP(PARAM!$C$38,PARAM!$B$44:$K$49,10,FALSE),0)*(IFERROR(VLOOKUP(PARAM!$C$38,PARAM!$B$44:$K$49,11,FALSE),0)-1)/2</f>
        <v>-70</v>
      </c>
      <c r="I150" s="22" t="str">
        <f>IF(IFERROR(VLOOKUP(PARAM!$C$38,PARAM!$B$44:$K$49,2,FALSE),"")="end plate","XZ","YZ")</f>
        <v>YZ</v>
      </c>
      <c r="J150" s="22">
        <v>0</v>
      </c>
      <c r="K150" s="22">
        <v>0</v>
      </c>
      <c r="L150" s="22">
        <v>0</v>
      </c>
      <c r="M150" s="22">
        <f>-(IF(IFERROR(VLOOKUP(PARAM!$C$38,PARAM!$B$44:$K$49,2,FALSE),"")="end plate",IFERROR(VLOOKUP(PARAM!$C$38,PARAM!$B$44:$K$49,8,FALSE),0),0))</f>
        <v>0</v>
      </c>
      <c r="N150" s="22">
        <f>0</f>
        <v>0</v>
      </c>
      <c r="O150" s="22">
        <v>0</v>
      </c>
      <c r="P150" s="22">
        <f>IF(IFERROR(VLOOKUP(PARAM!$C$38,PARAM!$B$44:$K$49,2,FALSE),"")="end plate",1,0)</f>
        <v>0</v>
      </c>
      <c r="Q150" s="22">
        <v>0</v>
      </c>
      <c r="R150" s="22">
        <v>0</v>
      </c>
      <c r="S150" s="22">
        <f>IFERROR(VLOOKUP(PARAM!$C$38,PARAM!$B$44:$K$49,10,FALSE),0)</f>
        <v>70</v>
      </c>
      <c r="T150" s="22">
        <f>IFERROR(VLOOKUP(PARAM!$C$38,PARAM!$B$44:$K$49,11,FALSE),0)-1</f>
        <v>2</v>
      </c>
    </row>
    <row r="151" spans="2:6" x14ac:dyDescent="0.25">
      <c r="B151" s="21" t="s">
        <v>170</v>
      </c>
      <c r="C151" s="22" t="s">
        <v>228</v>
      </c>
      <c r="D151" s="22" t="s">
        <v>173</v>
      </c>
      <c r="E151" s="22" t="s">
        <v>203</v>
      </c>
      <c r="F151" s="22" t="s">
        <v>139</v>
      </c>
    </row>
    <row r="152" spans="1:1" x14ac:dyDescent="0.25">
      <c r="A152" s="12" t="s">
        <v>134</v>
      </c>
    </row>
    <row r="153" spans="1:1" x14ac:dyDescent="0.25">
      <c r="A153" s="12" t="s">
        <v>229</v>
      </c>
    </row>
    <row r="154" spans="1:8" x14ac:dyDescent="0.25">
      <c r="A154" s="12" t="s">
        <v>230</v>
      </c>
      <c r="B154" s="21" t="s">
        <v>193</v>
      </c>
      <c r="C154" s="22" t="s">
        <v>194</v>
      </c>
      <c r="D154" s="22" t="s">
        <v>218</v>
      </c>
      <c r="E154" s="22" t="s">
        <v>195</v>
      </c>
      <c r="F154" s="22">
        <f>(IF(MOD(PARAM!$J$6,180)=0,PARAM!$E$6/2,IF(PARAM!$C$6="H",PARAM!$G$6/2,PARAM!$F$6/2)))+IF(IFERROR(VLOOKUP(PARAM!$C$35,PARAM!$B$44:$K$49,2,FALSE),"")="end plate",IF(PARAM!$C$6="H",IFERROR(VLOOKUP(PARAM!$C$35,PARAM!$B$44:$K$49,7,FALSE),0),2*IFERROR(VLOOKUP(PARAM!$C$35,PARAM!$B$44:$K$49,7,FALSE),0)),IFERROR(VLOOKUP(PARAM!$C$35,PARAM!$B$44:$K$49,4,FALSE),0))</f>
        <v>170</v>
      </c>
      <c r="G154" s="22">
        <v>0</v>
      </c>
      <c r="H154" s="22">
        <v>0</v>
      </c>
    </row>
    <row r="155" spans="2:8" x14ac:dyDescent="0.25">
      <c r="B155" s="21" t="s">
        <v>193</v>
      </c>
      <c r="C155" s="22" t="s">
        <v>194</v>
      </c>
      <c r="D155" s="22" t="s">
        <v>224</v>
      </c>
      <c r="E155" s="22" t="s">
        <v>195</v>
      </c>
      <c r="F155" s="22">
        <f>-((IF(MOD(PARAM!$J$6,180)=0,PARAM!$E$6/2,IF(PARAM!$C$6="H",PARAM!$G$6/2,PARAM!$F$6/2)))+IF(IFERROR(VLOOKUP(PARAM!$C$36,PARAM!$B$44:$K$49,2,FALSE),"")="end plate",IF(PARAM!$C$6="H",IFERROR(VLOOKUP(PARAM!$C$36,PARAM!$B$44:$K$49,7,FALSE),0),2*IFERROR(VLOOKUP(PARAM!$C$36,PARAM!$B$44:$K$49,7,FALSE),0)),IFERROR(VLOOKUP(PARAM!$C$36,PARAM!$B$44:$K$49,4,FALSE),0)))</f>
        <v>-160</v>
      </c>
      <c r="G155" s="22">
        <v>0</v>
      </c>
      <c r="H155" s="22">
        <v>0</v>
      </c>
    </row>
    <row r="156" spans="2:8" x14ac:dyDescent="0.25">
      <c r="B156" s="21" t="s">
        <v>193</v>
      </c>
      <c r="C156" s="22" t="s">
        <v>194</v>
      </c>
      <c r="D156" s="22" t="s">
        <v>226</v>
      </c>
      <c r="E156" s="22" t="s">
        <v>195</v>
      </c>
      <c r="F156" s="22">
        <v>0</v>
      </c>
      <c r="G156" s="22">
        <f>(IF(MOD(PARAM!$J$6,180)=0,IF(PARAM!$C$6="H",PARAM!$G$6/2,PARAM!$F$6/2),PARAM!$E$6/2))+IF(IFERROR(VLOOKUP(PARAM!$C$37,PARAM!$B$44:$K$49,2,FALSE),"")="end plate",IF(PARAM!$C$6="H",IFERROR(VLOOKUP(PARAM!$C$37,PARAM!$B$44:$K$49,7,FALSE),0),2*IFERROR(VLOOKUP(PARAM!$C$37,PARAM!$B$44:$K$49,7,FALSE),0)),IFERROR(VLOOKUP(PARAM!$C$37,PARAM!$B$44:$K$49,4,FALSE),0))</f>
        <v>15</v>
      </c>
      <c r="H156" s="22">
        <v>0</v>
      </c>
    </row>
    <row r="157" spans="2:8" x14ac:dyDescent="0.25">
      <c r="B157" s="21" t="s">
        <v>193</v>
      </c>
      <c r="C157" s="22" t="s">
        <v>194</v>
      </c>
      <c r="D157" s="22" t="s">
        <v>228</v>
      </c>
      <c r="E157" s="22" t="s">
        <v>195</v>
      </c>
      <c r="F157" s="22">
        <v>0</v>
      </c>
      <c r="G157" s="22">
        <f>-((IF(MOD(PARAM!$J$6,180)=0,IF(PARAM!$C$6="H",PARAM!$G$6/2,PARAM!$F$6/2),PARAM!$E$6/2))+IF(IFERROR(VLOOKUP(PARAM!$C$38,PARAM!$B$44:$K$49,2,FALSE),"")="end plate",IF(PARAM!$C$6="H",IFERROR(VLOOKUP(PARAM!$C$38,PARAM!$B$44:$K$49,7,FALSE),0),2*IFERROR(VLOOKUP(PARAM!$C$38,PARAM!$B$44:$K$49,7,FALSE),0)),IFERROR(VLOOKUP(PARAM!$C$38,PARAM!$B$44:$K$49,4,FALSE),0)))</f>
        <v>-15</v>
      </c>
      <c r="H157" s="22">
        <v>0</v>
      </c>
    </row>
    <row r="158" spans="1:1" x14ac:dyDescent="0.25">
      <c r="A158" s="12" t="s">
        <v>134</v>
      </c>
    </row>
    <row r="159" spans="2:2" x14ac:dyDescent="0.25">
      <c r="B159" s="21" t="s">
        <v>231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pane ySplit="1" topLeftCell="A2" activePane="bottomLeft" state="frozen"/>
      <selection pane="bottomLeft"/>
    </sheetView>
  </sheetViews>
  <sheetFormatPr defaultRowHeight="15" outlineLevelRow="0" outlineLevelCol="0" x14ac:dyDescent="55"/>
  <cols>
    <col min="1" max="1" width="26" customWidth="1"/>
  </cols>
  <sheetData>
    <row r="1" spans="1:7" x14ac:dyDescent="0.25">
      <c r="A1" s="23" t="s">
        <v>5</v>
      </c>
      <c r="B1" s="24" t="s">
        <v>6</v>
      </c>
      <c r="C1" s="24" t="s">
        <v>7</v>
      </c>
      <c r="D1" s="24" t="s">
        <v>72</v>
      </c>
      <c r="E1" s="24" t="s">
        <v>9</v>
      </c>
      <c r="F1" s="24" t="s">
        <v>10</v>
      </c>
      <c r="G1" s="24" t="s">
        <v>12</v>
      </c>
    </row>
    <row r="2" spans="1:7" x14ac:dyDescent="0.25">
      <c r="A2" s="25" t="s">
        <v>232</v>
      </c>
      <c r="B2" s="26"/>
      <c r="C2" s="26"/>
      <c r="D2" s="26"/>
      <c r="E2" s="26"/>
      <c r="F2" s="26"/>
      <c r="G2" s="26"/>
    </row>
    <row r="3" spans="1:7" x14ac:dyDescent="0.25">
      <c r="A3" s="27" t="s">
        <v>233</v>
      </c>
      <c r="B3" s="28">
        <v>100</v>
      </c>
      <c r="C3" s="28">
        <v>100</v>
      </c>
      <c r="D3" s="28">
        <v>6</v>
      </c>
      <c r="E3" s="28">
        <v>8</v>
      </c>
      <c r="F3" s="28">
        <v>10</v>
      </c>
      <c r="G3" s="28">
        <v>17.2</v>
      </c>
    </row>
    <row r="4" spans="1:7" x14ac:dyDescent="0.25">
      <c r="A4" s="29" t="s">
        <v>234</v>
      </c>
      <c r="B4" s="30">
        <v>125</v>
      </c>
      <c r="C4" s="30">
        <v>125</v>
      </c>
      <c r="D4" s="30">
        <v>6.5</v>
      </c>
      <c r="E4" s="30">
        <v>9</v>
      </c>
      <c r="F4" s="30">
        <v>10</v>
      </c>
      <c r="G4" s="30">
        <v>23.8</v>
      </c>
    </row>
    <row r="5" spans="1:7" x14ac:dyDescent="0.25">
      <c r="A5" s="27" t="s">
        <v>235</v>
      </c>
      <c r="B5" s="28">
        <v>150</v>
      </c>
      <c r="C5" s="28">
        <v>75</v>
      </c>
      <c r="D5" s="28">
        <v>5</v>
      </c>
      <c r="E5" s="28">
        <v>7</v>
      </c>
      <c r="F5" s="28">
        <v>8</v>
      </c>
      <c r="G5" s="28">
        <v>14</v>
      </c>
    </row>
    <row r="6" spans="1:7" x14ac:dyDescent="0.25">
      <c r="A6" s="29" t="s">
        <v>236</v>
      </c>
      <c r="B6" s="30">
        <v>148</v>
      </c>
      <c r="C6" s="30">
        <v>100</v>
      </c>
      <c r="D6" s="30">
        <v>6</v>
      </c>
      <c r="E6" s="30">
        <v>9</v>
      </c>
      <c r="F6" s="30">
        <v>11</v>
      </c>
      <c r="G6" s="30">
        <v>21.1</v>
      </c>
    </row>
    <row r="7" spans="1:7" x14ac:dyDescent="0.25">
      <c r="A7" s="27" t="s">
        <v>237</v>
      </c>
      <c r="B7" s="28">
        <v>150</v>
      </c>
      <c r="C7" s="28">
        <v>150</v>
      </c>
      <c r="D7" s="28">
        <v>7</v>
      </c>
      <c r="E7" s="28">
        <v>10</v>
      </c>
      <c r="F7" s="28">
        <v>11</v>
      </c>
      <c r="G7" s="28">
        <v>31.5</v>
      </c>
    </row>
    <row r="8" spans="1:7" x14ac:dyDescent="0.25">
      <c r="A8" s="29" t="s">
        <v>238</v>
      </c>
      <c r="B8" s="30">
        <v>198</v>
      </c>
      <c r="C8" s="30">
        <v>99</v>
      </c>
      <c r="D8" s="30">
        <v>4.5</v>
      </c>
      <c r="E8" s="30">
        <v>7</v>
      </c>
      <c r="F8" s="30">
        <v>11</v>
      </c>
      <c r="G8" s="30">
        <v>18.2</v>
      </c>
    </row>
    <row r="9" spans="1:7" x14ac:dyDescent="0.25">
      <c r="A9" s="27" t="s">
        <v>239</v>
      </c>
      <c r="B9" s="28">
        <v>200</v>
      </c>
      <c r="C9" s="28">
        <v>100</v>
      </c>
      <c r="D9" s="28">
        <v>5.5</v>
      </c>
      <c r="E9" s="28">
        <v>8</v>
      </c>
      <c r="F9" s="28">
        <v>11</v>
      </c>
      <c r="G9" s="28">
        <v>21.3</v>
      </c>
    </row>
    <row r="10" spans="1:7" x14ac:dyDescent="0.25">
      <c r="A10" s="29" t="s">
        <v>240</v>
      </c>
      <c r="B10" s="30">
        <v>194</v>
      </c>
      <c r="C10" s="30">
        <v>150</v>
      </c>
      <c r="D10" s="30">
        <v>6</v>
      </c>
      <c r="E10" s="30">
        <v>9</v>
      </c>
      <c r="F10" s="30">
        <v>13</v>
      </c>
      <c r="G10" s="30">
        <v>30.6</v>
      </c>
    </row>
    <row r="11" spans="1:7" x14ac:dyDescent="0.25">
      <c r="A11" s="27" t="s">
        <v>241</v>
      </c>
      <c r="B11" s="28">
        <v>200</v>
      </c>
      <c r="C11" s="28">
        <v>200</v>
      </c>
      <c r="D11" s="28">
        <v>8</v>
      </c>
      <c r="E11" s="28">
        <v>12</v>
      </c>
      <c r="F11" s="28">
        <v>13</v>
      </c>
      <c r="G11" s="28">
        <v>49.9</v>
      </c>
    </row>
    <row r="12" spans="1:7" x14ac:dyDescent="0.25">
      <c r="A12" s="29" t="s">
        <v>242</v>
      </c>
      <c r="B12" s="30">
        <v>200</v>
      </c>
      <c r="C12" s="30">
        <v>204</v>
      </c>
      <c r="D12" s="30">
        <v>12</v>
      </c>
      <c r="E12" s="30">
        <v>12</v>
      </c>
      <c r="F12" s="30">
        <v>13</v>
      </c>
      <c r="G12" s="30">
        <v>56.2</v>
      </c>
    </row>
    <row r="13" spans="1:7" x14ac:dyDescent="0.25">
      <c r="A13" s="27" t="s">
        <v>243</v>
      </c>
      <c r="B13" s="28">
        <v>248</v>
      </c>
      <c r="C13" s="28">
        <v>124</v>
      </c>
      <c r="D13" s="28">
        <v>5</v>
      </c>
      <c r="E13" s="28">
        <v>8</v>
      </c>
      <c r="F13" s="28">
        <v>12</v>
      </c>
      <c r="G13" s="28">
        <v>25.7</v>
      </c>
    </row>
    <row r="14" spans="1:7" x14ac:dyDescent="0.25">
      <c r="A14" s="29" t="s">
        <v>244</v>
      </c>
      <c r="B14" s="30">
        <v>250</v>
      </c>
      <c r="C14" s="30">
        <v>125</v>
      </c>
      <c r="D14" s="30">
        <v>6</v>
      </c>
      <c r="E14" s="30">
        <v>9</v>
      </c>
      <c r="F14" s="30">
        <v>12</v>
      </c>
      <c r="G14" s="30">
        <v>29.6</v>
      </c>
    </row>
    <row r="15" spans="1:7" x14ac:dyDescent="0.25">
      <c r="A15" s="27" t="s">
        <v>245</v>
      </c>
      <c r="B15" s="28">
        <v>244</v>
      </c>
      <c r="C15" s="28">
        <v>175</v>
      </c>
      <c r="D15" s="28">
        <v>7</v>
      </c>
      <c r="E15" s="28">
        <v>11</v>
      </c>
      <c r="F15" s="28">
        <v>16</v>
      </c>
      <c r="G15" s="28">
        <v>44.1</v>
      </c>
    </row>
    <row r="16" spans="1:7" x14ac:dyDescent="0.25">
      <c r="A16" s="29" t="s">
        <v>246</v>
      </c>
      <c r="B16" s="30">
        <v>250</v>
      </c>
      <c r="C16" s="30">
        <v>250</v>
      </c>
      <c r="D16" s="30">
        <v>9</v>
      </c>
      <c r="E16" s="30">
        <v>14</v>
      </c>
      <c r="F16" s="30">
        <v>16</v>
      </c>
      <c r="G16" s="30">
        <v>72.4</v>
      </c>
    </row>
    <row r="17" spans="1:7" x14ac:dyDescent="0.25">
      <c r="A17" s="27" t="s">
        <v>247</v>
      </c>
      <c r="B17" s="28">
        <v>250</v>
      </c>
      <c r="C17" s="28">
        <v>255</v>
      </c>
      <c r="D17" s="28">
        <v>14</v>
      </c>
      <c r="E17" s="28">
        <v>14</v>
      </c>
      <c r="F17" s="28">
        <v>16</v>
      </c>
      <c r="G17" s="28">
        <v>82.2</v>
      </c>
    </row>
    <row r="18" spans="1:7" x14ac:dyDescent="0.25">
      <c r="A18" s="29" t="s">
        <v>248</v>
      </c>
      <c r="B18" s="30">
        <v>298</v>
      </c>
      <c r="C18" s="30">
        <v>149</v>
      </c>
      <c r="D18" s="30">
        <v>5.5</v>
      </c>
      <c r="E18" s="30">
        <v>8</v>
      </c>
      <c r="F18" s="30">
        <v>13</v>
      </c>
      <c r="G18" s="30">
        <v>32</v>
      </c>
    </row>
    <row r="19" spans="1:7" x14ac:dyDescent="0.25">
      <c r="A19" s="27" t="s">
        <v>75</v>
      </c>
      <c r="B19" s="28">
        <v>300</v>
      </c>
      <c r="C19" s="28">
        <v>150</v>
      </c>
      <c r="D19" s="28">
        <v>6.5</v>
      </c>
      <c r="E19" s="28">
        <v>9</v>
      </c>
      <c r="F19" s="28">
        <v>13</v>
      </c>
      <c r="G19" s="28">
        <v>36.7</v>
      </c>
    </row>
    <row r="20" spans="1:7" x14ac:dyDescent="0.25">
      <c r="A20" s="29" t="s">
        <v>249</v>
      </c>
      <c r="B20" s="30">
        <v>294</v>
      </c>
      <c r="C20" s="30">
        <v>200</v>
      </c>
      <c r="D20" s="30">
        <v>8</v>
      </c>
      <c r="E20" s="30">
        <v>12</v>
      </c>
      <c r="F20" s="30">
        <v>18</v>
      </c>
      <c r="G20" s="30">
        <v>56.8</v>
      </c>
    </row>
    <row r="21" spans="1:7" x14ac:dyDescent="0.25">
      <c r="A21" s="27" t="s">
        <v>250</v>
      </c>
      <c r="B21" s="28">
        <v>294</v>
      </c>
      <c r="C21" s="28">
        <v>302</v>
      </c>
      <c r="D21" s="28">
        <v>12</v>
      </c>
      <c r="E21" s="28">
        <v>12</v>
      </c>
      <c r="F21" s="28">
        <v>18</v>
      </c>
      <c r="G21" s="28">
        <v>84.5</v>
      </c>
    </row>
    <row r="22" spans="1:7" x14ac:dyDescent="0.25">
      <c r="A22" s="29" t="s">
        <v>15</v>
      </c>
      <c r="B22" s="30">
        <v>300</v>
      </c>
      <c r="C22" s="30">
        <v>300</v>
      </c>
      <c r="D22" s="30">
        <v>10</v>
      </c>
      <c r="E22" s="30">
        <v>15</v>
      </c>
      <c r="F22" s="30">
        <v>18</v>
      </c>
      <c r="G22" s="30">
        <v>94</v>
      </c>
    </row>
    <row r="23" spans="1:7" x14ac:dyDescent="0.25">
      <c r="A23" s="27" t="s">
        <v>251</v>
      </c>
      <c r="B23" s="28">
        <v>300</v>
      </c>
      <c r="C23" s="28">
        <v>305</v>
      </c>
      <c r="D23" s="28">
        <v>15</v>
      </c>
      <c r="E23" s="28">
        <v>15</v>
      </c>
      <c r="F23" s="28">
        <v>18</v>
      </c>
      <c r="G23" s="28">
        <v>106</v>
      </c>
    </row>
    <row r="24" spans="1:7" x14ac:dyDescent="0.25">
      <c r="A24" s="29" t="s">
        <v>252</v>
      </c>
      <c r="B24" s="30">
        <v>346</v>
      </c>
      <c r="C24" s="30">
        <v>174</v>
      </c>
      <c r="D24" s="30">
        <v>6</v>
      </c>
      <c r="E24" s="30">
        <v>9</v>
      </c>
      <c r="F24" s="30">
        <v>14</v>
      </c>
      <c r="G24" s="30">
        <v>41.4</v>
      </c>
    </row>
    <row r="25" spans="1:7" x14ac:dyDescent="0.25">
      <c r="A25" s="27" t="s">
        <v>253</v>
      </c>
      <c r="B25" s="28">
        <v>350</v>
      </c>
      <c r="C25" s="28">
        <v>175</v>
      </c>
      <c r="D25" s="28">
        <v>7</v>
      </c>
      <c r="E25" s="28">
        <v>11</v>
      </c>
      <c r="F25" s="28">
        <v>14</v>
      </c>
      <c r="G25" s="28">
        <v>49.6</v>
      </c>
    </row>
    <row r="26" spans="1:7" x14ac:dyDescent="0.25">
      <c r="A26" s="29" t="s">
        <v>254</v>
      </c>
      <c r="B26" s="30">
        <v>340</v>
      </c>
      <c r="C26" s="30">
        <v>250</v>
      </c>
      <c r="D26" s="30">
        <v>9</v>
      </c>
      <c r="E26" s="30">
        <v>14</v>
      </c>
      <c r="F26" s="30">
        <v>20</v>
      </c>
      <c r="G26" s="30">
        <v>79.7</v>
      </c>
    </row>
    <row r="27" spans="1:7" x14ac:dyDescent="0.25">
      <c r="A27" s="27" t="s">
        <v>255</v>
      </c>
      <c r="B27" s="28">
        <v>344</v>
      </c>
      <c r="C27" s="28">
        <v>348</v>
      </c>
      <c r="D27" s="28">
        <v>10</v>
      </c>
      <c r="E27" s="28">
        <v>16</v>
      </c>
      <c r="F27" s="28">
        <v>20</v>
      </c>
      <c r="G27" s="28">
        <v>115</v>
      </c>
    </row>
    <row r="28" spans="1:7" x14ac:dyDescent="0.25">
      <c r="A28" s="29" t="s">
        <v>256</v>
      </c>
      <c r="B28" s="30">
        <v>350</v>
      </c>
      <c r="C28" s="30">
        <v>350</v>
      </c>
      <c r="D28" s="30">
        <v>12</v>
      </c>
      <c r="E28" s="30">
        <v>19</v>
      </c>
      <c r="F28" s="30">
        <v>20</v>
      </c>
      <c r="G28" s="30">
        <v>137</v>
      </c>
    </row>
    <row r="29" spans="1:7" x14ac:dyDescent="0.25">
      <c r="A29" s="27" t="s">
        <v>257</v>
      </c>
      <c r="B29" s="28">
        <v>396</v>
      </c>
      <c r="C29" s="28">
        <v>199</v>
      </c>
      <c r="D29" s="28">
        <v>7</v>
      </c>
      <c r="E29" s="28">
        <v>11</v>
      </c>
      <c r="F29" s="28">
        <v>16</v>
      </c>
      <c r="G29" s="28">
        <v>56.6</v>
      </c>
    </row>
    <row r="30" spans="1:7" x14ac:dyDescent="0.25">
      <c r="A30" s="29" t="s">
        <v>258</v>
      </c>
      <c r="B30" s="30">
        <v>400</v>
      </c>
      <c r="C30" s="30">
        <v>200</v>
      </c>
      <c r="D30" s="30">
        <v>8</v>
      </c>
      <c r="E30" s="30">
        <v>13</v>
      </c>
      <c r="F30" s="30">
        <v>16</v>
      </c>
      <c r="G30" s="30">
        <v>66</v>
      </c>
    </row>
    <row r="31" spans="1:7" x14ac:dyDescent="0.25">
      <c r="A31" s="27" t="s">
        <v>259</v>
      </c>
      <c r="B31" s="28">
        <v>390</v>
      </c>
      <c r="C31" s="28">
        <v>300</v>
      </c>
      <c r="D31" s="28">
        <v>10</v>
      </c>
      <c r="E31" s="28">
        <v>16</v>
      </c>
      <c r="F31" s="28">
        <v>22</v>
      </c>
      <c r="G31" s="28">
        <v>107</v>
      </c>
    </row>
    <row r="32" spans="1:7" x14ac:dyDescent="0.25">
      <c r="A32" s="29" t="s">
        <v>260</v>
      </c>
      <c r="B32" s="30">
        <v>388</v>
      </c>
      <c r="C32" s="30">
        <v>402</v>
      </c>
      <c r="D32" s="30">
        <v>15</v>
      </c>
      <c r="E32" s="30">
        <v>15</v>
      </c>
      <c r="F32" s="30">
        <v>22</v>
      </c>
      <c r="G32" s="30">
        <v>140</v>
      </c>
    </row>
    <row r="33" spans="1:7" x14ac:dyDescent="0.25">
      <c r="A33" s="27" t="s">
        <v>261</v>
      </c>
      <c r="B33" s="28">
        <v>394</v>
      </c>
      <c r="C33" s="28">
        <v>398</v>
      </c>
      <c r="D33" s="28">
        <v>11</v>
      </c>
      <c r="E33" s="28">
        <v>18</v>
      </c>
      <c r="F33" s="28">
        <v>22</v>
      </c>
      <c r="G33" s="28">
        <v>147</v>
      </c>
    </row>
    <row r="34" spans="1:7" x14ac:dyDescent="0.25">
      <c r="A34" s="29" t="s">
        <v>262</v>
      </c>
      <c r="B34" s="30">
        <v>400</v>
      </c>
      <c r="C34" s="30">
        <v>400</v>
      </c>
      <c r="D34" s="30">
        <v>13</v>
      </c>
      <c r="E34" s="30">
        <v>21</v>
      </c>
      <c r="F34" s="30">
        <v>22</v>
      </c>
      <c r="G34" s="30">
        <v>172</v>
      </c>
    </row>
    <row r="35" spans="1:7" x14ac:dyDescent="0.25">
      <c r="A35" s="27" t="s">
        <v>263</v>
      </c>
      <c r="B35" s="28">
        <v>400</v>
      </c>
      <c r="C35" s="28">
        <v>408</v>
      </c>
      <c r="D35" s="28">
        <v>21</v>
      </c>
      <c r="E35" s="28">
        <v>21</v>
      </c>
      <c r="F35" s="28">
        <v>22</v>
      </c>
      <c r="G35" s="28">
        <v>197</v>
      </c>
    </row>
    <row r="36" spans="1:7" x14ac:dyDescent="0.25">
      <c r="A36" s="29" t="s">
        <v>264</v>
      </c>
      <c r="B36" s="30">
        <v>414</v>
      </c>
      <c r="C36" s="30">
        <v>405</v>
      </c>
      <c r="D36" s="30">
        <v>18</v>
      </c>
      <c r="E36" s="30">
        <v>28</v>
      </c>
      <c r="F36" s="30">
        <v>22</v>
      </c>
      <c r="G36" s="30">
        <v>232</v>
      </c>
    </row>
    <row r="37" spans="1:7" x14ac:dyDescent="0.25">
      <c r="A37" s="27" t="s">
        <v>265</v>
      </c>
      <c r="B37" s="28">
        <v>428</v>
      </c>
      <c r="C37" s="28">
        <v>407</v>
      </c>
      <c r="D37" s="28">
        <v>20</v>
      </c>
      <c r="E37" s="28">
        <v>35</v>
      </c>
      <c r="F37" s="28">
        <v>22</v>
      </c>
      <c r="G37" s="28">
        <v>283</v>
      </c>
    </row>
    <row r="38" spans="1:7" x14ac:dyDescent="0.25">
      <c r="A38" s="29" t="s">
        <v>266</v>
      </c>
      <c r="B38" s="30">
        <v>458</v>
      </c>
      <c r="C38" s="30">
        <v>417</v>
      </c>
      <c r="D38" s="30">
        <v>30</v>
      </c>
      <c r="E38" s="30">
        <v>50</v>
      </c>
      <c r="F38" s="30">
        <v>22</v>
      </c>
      <c r="G38" s="30">
        <v>415</v>
      </c>
    </row>
    <row r="39" spans="1:7" x14ac:dyDescent="0.25">
      <c r="A39" s="27" t="s">
        <v>267</v>
      </c>
      <c r="B39" s="28">
        <v>498</v>
      </c>
      <c r="C39" s="28">
        <v>432</v>
      </c>
      <c r="D39" s="28">
        <v>45</v>
      </c>
      <c r="E39" s="28">
        <v>70</v>
      </c>
      <c r="F39" s="28">
        <v>22</v>
      </c>
      <c r="G39" s="28">
        <v>605</v>
      </c>
    </row>
    <row r="40" spans="1:7" x14ac:dyDescent="0.25">
      <c r="A40" s="29" t="s">
        <v>268</v>
      </c>
      <c r="B40" s="30">
        <v>446</v>
      </c>
      <c r="C40" s="30">
        <v>199</v>
      </c>
      <c r="D40" s="30">
        <v>8</v>
      </c>
      <c r="E40" s="30">
        <v>12</v>
      </c>
      <c r="F40" s="30">
        <v>18</v>
      </c>
      <c r="G40" s="30">
        <v>66.2</v>
      </c>
    </row>
    <row r="41" spans="1:7" x14ac:dyDescent="0.25">
      <c r="A41" s="27" t="s">
        <v>269</v>
      </c>
      <c r="B41" s="28">
        <v>450</v>
      </c>
      <c r="C41" s="28">
        <v>200</v>
      </c>
      <c r="D41" s="28">
        <v>9</v>
      </c>
      <c r="E41" s="28">
        <v>14</v>
      </c>
      <c r="F41" s="28">
        <v>18</v>
      </c>
      <c r="G41" s="28">
        <v>76</v>
      </c>
    </row>
    <row r="42" spans="1:7" x14ac:dyDescent="0.25">
      <c r="A42" s="29" t="s">
        <v>270</v>
      </c>
      <c r="B42" s="30">
        <v>440</v>
      </c>
      <c r="C42" s="30">
        <v>300</v>
      </c>
      <c r="D42" s="30">
        <v>11</v>
      </c>
      <c r="E42" s="30">
        <v>18</v>
      </c>
      <c r="F42" s="30">
        <v>24</v>
      </c>
      <c r="G42" s="30">
        <v>124</v>
      </c>
    </row>
    <row r="43" spans="1:7" x14ac:dyDescent="0.25">
      <c r="A43" s="27" t="s">
        <v>271</v>
      </c>
      <c r="B43" s="28">
        <v>440</v>
      </c>
      <c r="C43" s="28">
        <v>300</v>
      </c>
      <c r="D43" s="28">
        <v>11</v>
      </c>
      <c r="E43" s="28">
        <v>18</v>
      </c>
      <c r="F43" s="28">
        <v>13</v>
      </c>
      <c r="G43" s="28">
        <v>121</v>
      </c>
    </row>
    <row r="44" spans="1:7" x14ac:dyDescent="0.25">
      <c r="A44" s="29" t="s">
        <v>272</v>
      </c>
      <c r="B44" s="30">
        <v>496</v>
      </c>
      <c r="C44" s="30">
        <v>199</v>
      </c>
      <c r="D44" s="30">
        <v>9</v>
      </c>
      <c r="E44" s="30">
        <v>14</v>
      </c>
      <c r="F44" s="30">
        <v>13</v>
      </c>
      <c r="G44" s="30">
        <v>77.9</v>
      </c>
    </row>
    <row r="45" spans="1:7" x14ac:dyDescent="0.25">
      <c r="A45" s="27" t="s">
        <v>273</v>
      </c>
      <c r="B45" s="28">
        <v>500</v>
      </c>
      <c r="C45" s="28">
        <v>200</v>
      </c>
      <c r="D45" s="28">
        <v>10</v>
      </c>
      <c r="E45" s="28">
        <v>16</v>
      </c>
      <c r="F45" s="28">
        <v>13</v>
      </c>
      <c r="G45" s="28">
        <v>88.2</v>
      </c>
    </row>
    <row r="46" spans="1:7" x14ac:dyDescent="0.25">
      <c r="A46" s="29" t="s">
        <v>274</v>
      </c>
      <c r="B46" s="30">
        <v>482</v>
      </c>
      <c r="C46" s="30">
        <v>300</v>
      </c>
      <c r="D46" s="30">
        <v>11</v>
      </c>
      <c r="E46" s="30">
        <v>15</v>
      </c>
      <c r="F46" s="30">
        <v>13</v>
      </c>
      <c r="G46" s="30">
        <v>111</v>
      </c>
    </row>
    <row r="47" spans="1:7" x14ac:dyDescent="0.25">
      <c r="A47" s="27" t="s">
        <v>275</v>
      </c>
      <c r="B47" s="28">
        <v>488</v>
      </c>
      <c r="C47" s="28">
        <v>300</v>
      </c>
      <c r="D47" s="28">
        <v>11</v>
      </c>
      <c r="E47" s="28">
        <v>18</v>
      </c>
      <c r="F47" s="28">
        <v>13</v>
      </c>
      <c r="G47" s="28">
        <v>125</v>
      </c>
    </row>
    <row r="48" spans="1:7" x14ac:dyDescent="0.25">
      <c r="A48" s="29" t="s">
        <v>276</v>
      </c>
      <c r="B48" s="30">
        <v>596</v>
      </c>
      <c r="C48" s="30">
        <v>199</v>
      </c>
      <c r="D48" s="30">
        <v>10</v>
      </c>
      <c r="E48" s="30">
        <v>15</v>
      </c>
      <c r="F48" s="30">
        <v>13</v>
      </c>
      <c r="G48" s="30">
        <v>92.5</v>
      </c>
    </row>
    <row r="49" spans="1:7" x14ac:dyDescent="0.25">
      <c r="A49" s="27" t="s">
        <v>277</v>
      </c>
      <c r="B49" s="28">
        <v>600</v>
      </c>
      <c r="C49" s="28">
        <v>200</v>
      </c>
      <c r="D49" s="28">
        <v>11</v>
      </c>
      <c r="E49" s="28">
        <v>17</v>
      </c>
      <c r="F49" s="28">
        <v>13</v>
      </c>
      <c r="G49" s="28">
        <v>103</v>
      </c>
    </row>
    <row r="50" spans="1:7" x14ac:dyDescent="0.25">
      <c r="A50" s="29" t="s">
        <v>278</v>
      </c>
      <c r="B50" s="30">
        <v>582</v>
      </c>
      <c r="C50" s="30">
        <v>300</v>
      </c>
      <c r="D50" s="30">
        <v>12</v>
      </c>
      <c r="E50" s="30">
        <v>17</v>
      </c>
      <c r="F50" s="30">
        <v>13</v>
      </c>
      <c r="G50" s="30">
        <v>133</v>
      </c>
    </row>
    <row r="51" spans="1:7" x14ac:dyDescent="0.25">
      <c r="A51" s="27" t="s">
        <v>279</v>
      </c>
      <c r="B51" s="28">
        <v>588</v>
      </c>
      <c r="C51" s="28">
        <v>300</v>
      </c>
      <c r="D51" s="28">
        <v>12</v>
      </c>
      <c r="E51" s="28">
        <v>20</v>
      </c>
      <c r="F51" s="28">
        <v>13</v>
      </c>
      <c r="G51" s="28">
        <v>147</v>
      </c>
    </row>
    <row r="52" spans="1:7" x14ac:dyDescent="0.25">
      <c r="A52" s="29" t="s">
        <v>280</v>
      </c>
      <c r="B52" s="30">
        <v>594</v>
      </c>
      <c r="C52" s="30">
        <v>302</v>
      </c>
      <c r="D52" s="30">
        <v>14</v>
      </c>
      <c r="E52" s="30">
        <v>23</v>
      </c>
      <c r="F52" s="30">
        <v>13</v>
      </c>
      <c r="G52" s="30">
        <v>170</v>
      </c>
    </row>
    <row r="53" spans="1:7" x14ac:dyDescent="0.25">
      <c r="A53" s="27" t="s">
        <v>281</v>
      </c>
      <c r="B53" s="28">
        <v>692</v>
      </c>
      <c r="C53" s="28">
        <v>300</v>
      </c>
      <c r="D53" s="28">
        <v>13</v>
      </c>
      <c r="E53" s="28">
        <v>20</v>
      </c>
      <c r="F53" s="28">
        <v>18</v>
      </c>
      <c r="G53" s="28">
        <v>163</v>
      </c>
    </row>
    <row r="54" spans="1:7" x14ac:dyDescent="0.25">
      <c r="A54" s="29" t="s">
        <v>282</v>
      </c>
      <c r="B54" s="30">
        <v>700</v>
      </c>
      <c r="C54" s="30">
        <v>300</v>
      </c>
      <c r="D54" s="30">
        <v>13</v>
      </c>
      <c r="E54" s="30">
        <v>24</v>
      </c>
      <c r="F54" s="30">
        <v>18</v>
      </c>
      <c r="G54" s="30">
        <v>182</v>
      </c>
    </row>
    <row r="55" spans="1:7" x14ac:dyDescent="0.25">
      <c r="A55" s="27" t="s">
        <v>283</v>
      </c>
      <c r="B55" s="28">
        <v>792</v>
      </c>
      <c r="C55" s="28">
        <v>300</v>
      </c>
      <c r="D55" s="28">
        <v>14</v>
      </c>
      <c r="E55" s="28">
        <v>22</v>
      </c>
      <c r="F55" s="28">
        <v>18</v>
      </c>
      <c r="G55" s="28">
        <v>188</v>
      </c>
    </row>
    <row r="56" spans="1:7" x14ac:dyDescent="0.25">
      <c r="A56" s="29" t="s">
        <v>284</v>
      </c>
      <c r="B56" s="30">
        <v>800</v>
      </c>
      <c r="C56" s="30">
        <v>300</v>
      </c>
      <c r="D56" s="30">
        <v>14</v>
      </c>
      <c r="E56" s="30">
        <v>26</v>
      </c>
      <c r="F56" s="30">
        <v>18</v>
      </c>
      <c r="G56" s="30">
        <v>207</v>
      </c>
    </row>
    <row r="57" spans="1:7" x14ac:dyDescent="0.25">
      <c r="A57" s="27" t="s">
        <v>285</v>
      </c>
      <c r="B57" s="28">
        <v>890</v>
      </c>
      <c r="C57" s="28">
        <v>299</v>
      </c>
      <c r="D57" s="28">
        <v>15</v>
      </c>
      <c r="E57" s="28">
        <v>23</v>
      </c>
      <c r="F57" s="28">
        <v>18</v>
      </c>
      <c r="G57" s="28">
        <v>210</v>
      </c>
    </row>
    <row r="58" spans="1:7" x14ac:dyDescent="0.25">
      <c r="A58" s="29" t="s">
        <v>286</v>
      </c>
      <c r="B58" s="30">
        <v>900</v>
      </c>
      <c r="C58" s="30">
        <v>300</v>
      </c>
      <c r="D58" s="30">
        <v>16</v>
      </c>
      <c r="E58" s="30">
        <v>28</v>
      </c>
      <c r="F58" s="30">
        <v>18</v>
      </c>
      <c r="G58" s="30">
        <v>240</v>
      </c>
    </row>
    <row r="59" spans="1:7" x14ac:dyDescent="0.25">
      <c r="A59" s="27" t="s">
        <v>287</v>
      </c>
      <c r="B59" s="28">
        <v>912</v>
      </c>
      <c r="C59" s="28">
        <v>302</v>
      </c>
      <c r="D59" s="28">
        <v>18</v>
      </c>
      <c r="E59" s="28">
        <v>34</v>
      </c>
      <c r="F59" s="28">
        <v>18</v>
      </c>
      <c r="G59" s="28">
        <v>283</v>
      </c>
    </row>
    <row r="60" spans="1:7" x14ac:dyDescent="0.25">
      <c r="A60" s="29" t="s">
        <v>288</v>
      </c>
      <c r="B60" s="30">
        <v>918</v>
      </c>
      <c r="C60" s="30">
        <v>303</v>
      </c>
      <c r="D60" s="30">
        <v>19</v>
      </c>
      <c r="E60" s="30">
        <v>37</v>
      </c>
      <c r="F60" s="30">
        <v>18</v>
      </c>
      <c r="G60" s="30">
        <v>304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4"/>
  <sheetViews>
    <sheetView workbookViewId="0">
      <pane ySplit="1" topLeftCell="A2" activePane="bottomLeft" state="frozen"/>
      <selection pane="bottomLeft"/>
    </sheetView>
  </sheetViews>
  <sheetFormatPr defaultRowHeight="15" outlineLevelRow="0" outlineLevelCol="0" x14ac:dyDescent="55"/>
  <cols>
    <col min="1" max="1" width="26" customWidth="1"/>
  </cols>
  <sheetData>
    <row r="1" spans="1:7" x14ac:dyDescent="0.25">
      <c r="A1" s="23" t="s">
        <v>5</v>
      </c>
      <c r="B1" s="24" t="s">
        <v>6</v>
      </c>
      <c r="C1" s="24" t="s">
        <v>7</v>
      </c>
      <c r="D1" s="24" t="s">
        <v>72</v>
      </c>
      <c r="E1" s="24" t="s">
        <v>9</v>
      </c>
      <c r="F1" s="24" t="s">
        <v>10</v>
      </c>
      <c r="G1" s="24" t="s">
        <v>12</v>
      </c>
    </row>
    <row r="2" spans="1:7" x14ac:dyDescent="0.25">
      <c r="A2" s="25" t="s">
        <v>232</v>
      </c>
      <c r="B2" s="26"/>
      <c r="C2" s="26"/>
      <c r="D2" s="26"/>
      <c r="E2" s="26"/>
      <c r="F2" s="26"/>
      <c r="G2" s="26"/>
    </row>
    <row r="3" spans="1:7" x14ac:dyDescent="0.25">
      <c r="A3" s="27" t="s">
        <v>289</v>
      </c>
      <c r="B3" s="28">
        <v>20</v>
      </c>
      <c r="C3" s="28">
        <v>20</v>
      </c>
      <c r="D3" s="28">
        <v>1.2</v>
      </c>
      <c r="E3" s="28">
        <v>1.2</v>
      </c>
      <c r="F3" s="28">
        <v>2.4</v>
      </c>
      <c r="G3" s="28">
        <v>0.68</v>
      </c>
    </row>
    <row r="4" spans="1:7" x14ac:dyDescent="0.25">
      <c r="A4" s="29" t="s">
        <v>290</v>
      </c>
      <c r="B4" s="30">
        <v>20</v>
      </c>
      <c r="C4" s="30">
        <v>20</v>
      </c>
      <c r="D4" s="30">
        <v>1.6</v>
      </c>
      <c r="E4" s="30">
        <v>1.6</v>
      </c>
      <c r="F4" s="30">
        <v>3.2</v>
      </c>
      <c r="G4" s="30">
        <v>0.87</v>
      </c>
    </row>
    <row r="5" spans="1:7" x14ac:dyDescent="0.25">
      <c r="A5" s="27" t="s">
        <v>291</v>
      </c>
      <c r="B5" s="28">
        <v>25</v>
      </c>
      <c r="C5" s="28">
        <v>25</v>
      </c>
      <c r="D5" s="28">
        <v>1.2</v>
      </c>
      <c r="E5" s="28">
        <v>1.2</v>
      </c>
      <c r="F5" s="28">
        <v>2.4</v>
      </c>
      <c r="G5" s="28">
        <v>0.87</v>
      </c>
    </row>
    <row r="6" spans="1:7" x14ac:dyDescent="0.25">
      <c r="A6" s="29" t="s">
        <v>292</v>
      </c>
      <c r="B6" s="30">
        <v>25</v>
      </c>
      <c r="C6" s="30">
        <v>25</v>
      </c>
      <c r="D6" s="30">
        <v>1.6</v>
      </c>
      <c r="E6" s="30">
        <v>1.6</v>
      </c>
      <c r="F6" s="30">
        <v>3.2</v>
      </c>
      <c r="G6" s="30">
        <v>1.12</v>
      </c>
    </row>
    <row r="7" spans="1:7" x14ac:dyDescent="0.25">
      <c r="A7" s="27" t="s">
        <v>293</v>
      </c>
      <c r="B7" s="28">
        <v>30</v>
      </c>
      <c r="C7" s="28">
        <v>30</v>
      </c>
      <c r="D7" s="28">
        <v>1.2</v>
      </c>
      <c r="E7" s="28">
        <v>1.2</v>
      </c>
      <c r="F7" s="28">
        <v>2.4</v>
      </c>
      <c r="G7" s="28">
        <v>1.06</v>
      </c>
    </row>
    <row r="8" spans="1:7" x14ac:dyDescent="0.25">
      <c r="A8" s="29" t="s">
        <v>294</v>
      </c>
      <c r="B8" s="30">
        <v>30</v>
      </c>
      <c r="C8" s="30">
        <v>30</v>
      </c>
      <c r="D8" s="30">
        <v>1.6</v>
      </c>
      <c r="E8" s="30">
        <v>1.6</v>
      </c>
      <c r="F8" s="30">
        <v>3.2</v>
      </c>
      <c r="G8" s="30">
        <v>1.38</v>
      </c>
    </row>
    <row r="9" spans="1:7" x14ac:dyDescent="0.25">
      <c r="A9" s="27" t="s">
        <v>295</v>
      </c>
      <c r="B9" s="28">
        <v>40</v>
      </c>
      <c r="C9" s="28">
        <v>40</v>
      </c>
      <c r="D9" s="28">
        <v>1.6</v>
      </c>
      <c r="E9" s="28">
        <v>1.6</v>
      </c>
      <c r="F9" s="28">
        <v>3.2</v>
      </c>
      <c r="G9" s="28">
        <v>1.88</v>
      </c>
    </row>
    <row r="10" spans="1:7" x14ac:dyDescent="0.25">
      <c r="A10" s="29" t="s">
        <v>296</v>
      </c>
      <c r="B10" s="30">
        <v>40</v>
      </c>
      <c r="C10" s="30">
        <v>40</v>
      </c>
      <c r="D10" s="30">
        <v>2.3</v>
      </c>
      <c r="E10" s="30">
        <v>2.3</v>
      </c>
      <c r="F10" s="30">
        <v>4.6</v>
      </c>
      <c r="G10" s="30">
        <v>2.62</v>
      </c>
    </row>
    <row r="11" spans="1:7" x14ac:dyDescent="0.25">
      <c r="A11" s="27" t="s">
        <v>297</v>
      </c>
      <c r="B11" s="28">
        <v>50</v>
      </c>
      <c r="C11" s="28">
        <v>50</v>
      </c>
      <c r="D11" s="28">
        <v>1.6</v>
      </c>
      <c r="E11" s="28">
        <v>1.6</v>
      </c>
      <c r="F11" s="28">
        <v>3.2</v>
      </c>
      <c r="G11" s="28">
        <v>2.38</v>
      </c>
    </row>
    <row r="12" spans="1:7" x14ac:dyDescent="0.25">
      <c r="A12" s="29" t="s">
        <v>298</v>
      </c>
      <c r="B12" s="30">
        <v>50</v>
      </c>
      <c r="C12" s="30">
        <v>50</v>
      </c>
      <c r="D12" s="30">
        <v>2.3</v>
      </c>
      <c r="E12" s="30">
        <v>2.3</v>
      </c>
      <c r="F12" s="30">
        <v>4.6</v>
      </c>
      <c r="G12" s="30">
        <v>3.34</v>
      </c>
    </row>
    <row r="13" spans="1:7" x14ac:dyDescent="0.25">
      <c r="A13" s="27" t="s">
        <v>299</v>
      </c>
      <c r="B13" s="28">
        <v>50</v>
      </c>
      <c r="C13" s="28">
        <v>50</v>
      </c>
      <c r="D13" s="28">
        <v>3.2</v>
      </c>
      <c r="E13" s="28">
        <v>3.2</v>
      </c>
      <c r="F13" s="28">
        <v>6.4</v>
      </c>
      <c r="G13" s="28">
        <v>4.5</v>
      </c>
    </row>
    <row r="14" spans="1:7" x14ac:dyDescent="0.25">
      <c r="A14" s="29" t="s">
        <v>300</v>
      </c>
      <c r="B14" s="30">
        <v>60</v>
      </c>
      <c r="C14" s="30">
        <v>60</v>
      </c>
      <c r="D14" s="30">
        <v>1.6</v>
      </c>
      <c r="E14" s="30">
        <v>1.6</v>
      </c>
      <c r="F14" s="30">
        <v>3.2</v>
      </c>
      <c r="G14" s="30">
        <v>2.88</v>
      </c>
    </row>
    <row r="15" spans="1:7" x14ac:dyDescent="0.25">
      <c r="A15" s="27" t="s">
        <v>301</v>
      </c>
      <c r="B15" s="28">
        <v>60</v>
      </c>
      <c r="C15" s="28">
        <v>60</v>
      </c>
      <c r="D15" s="28">
        <v>2.3</v>
      </c>
      <c r="E15" s="28">
        <v>2.3</v>
      </c>
      <c r="F15" s="28">
        <v>4.6</v>
      </c>
      <c r="G15" s="28">
        <v>4.06</v>
      </c>
    </row>
    <row r="16" spans="1:7" x14ac:dyDescent="0.25">
      <c r="A16" s="29" t="s">
        <v>302</v>
      </c>
      <c r="B16" s="30">
        <v>60</v>
      </c>
      <c r="C16" s="30">
        <v>60</v>
      </c>
      <c r="D16" s="30">
        <v>3.2</v>
      </c>
      <c r="E16" s="30">
        <v>3.2</v>
      </c>
      <c r="F16" s="30">
        <v>6.4</v>
      </c>
      <c r="G16" s="30">
        <v>5.5</v>
      </c>
    </row>
    <row r="17" spans="1:7" x14ac:dyDescent="0.25">
      <c r="A17" s="27" t="s">
        <v>303</v>
      </c>
      <c r="B17" s="28">
        <v>75</v>
      </c>
      <c r="C17" s="28">
        <v>75</v>
      </c>
      <c r="D17" s="28">
        <v>1.6</v>
      </c>
      <c r="E17" s="28">
        <v>1.6</v>
      </c>
      <c r="F17" s="28">
        <v>3.2</v>
      </c>
      <c r="G17" s="28">
        <v>3.64</v>
      </c>
    </row>
    <row r="18" spans="1:7" x14ac:dyDescent="0.25">
      <c r="A18" s="29" t="s">
        <v>304</v>
      </c>
      <c r="B18" s="30">
        <v>75</v>
      </c>
      <c r="C18" s="30">
        <v>75</v>
      </c>
      <c r="D18" s="30">
        <v>2.3</v>
      </c>
      <c r="E18" s="30">
        <v>2.3</v>
      </c>
      <c r="F18" s="30">
        <v>4.6</v>
      </c>
      <c r="G18" s="30">
        <v>5.14</v>
      </c>
    </row>
    <row r="19" spans="1:7" x14ac:dyDescent="0.25">
      <c r="A19" s="27" t="s">
        <v>305</v>
      </c>
      <c r="B19" s="28">
        <v>75</v>
      </c>
      <c r="C19" s="28">
        <v>75</v>
      </c>
      <c r="D19" s="28">
        <v>3.2</v>
      </c>
      <c r="E19" s="28">
        <v>3.2</v>
      </c>
      <c r="F19" s="28">
        <v>6.4</v>
      </c>
      <c r="G19" s="28">
        <v>7.01</v>
      </c>
    </row>
    <row r="20" spans="1:7" x14ac:dyDescent="0.25">
      <c r="A20" s="29" t="s">
        <v>306</v>
      </c>
      <c r="B20" s="30">
        <v>75</v>
      </c>
      <c r="C20" s="30">
        <v>75</v>
      </c>
      <c r="D20" s="30">
        <v>4.5</v>
      </c>
      <c r="E20" s="30">
        <v>4.5</v>
      </c>
      <c r="F20" s="30">
        <v>9</v>
      </c>
      <c r="G20" s="30">
        <v>9.55</v>
      </c>
    </row>
    <row r="21" spans="1:7" x14ac:dyDescent="0.25">
      <c r="A21" s="27" t="s">
        <v>307</v>
      </c>
      <c r="B21" s="28">
        <v>80</v>
      </c>
      <c r="C21" s="28">
        <v>80</v>
      </c>
      <c r="D21" s="28">
        <v>2.3</v>
      </c>
      <c r="E21" s="28">
        <v>2.3</v>
      </c>
      <c r="F21" s="28">
        <v>4.6</v>
      </c>
      <c r="G21" s="28">
        <v>5.5</v>
      </c>
    </row>
    <row r="22" spans="1:7" x14ac:dyDescent="0.25">
      <c r="A22" s="29" t="s">
        <v>308</v>
      </c>
      <c r="B22" s="30">
        <v>80</v>
      </c>
      <c r="C22" s="30">
        <v>80</v>
      </c>
      <c r="D22" s="30">
        <v>3.2</v>
      </c>
      <c r="E22" s="30">
        <v>3.2</v>
      </c>
      <c r="F22" s="30">
        <v>6.4</v>
      </c>
      <c r="G22" s="30">
        <v>7.51</v>
      </c>
    </row>
    <row r="23" spans="1:7" x14ac:dyDescent="0.25">
      <c r="A23" s="27" t="s">
        <v>309</v>
      </c>
      <c r="B23" s="28">
        <v>80</v>
      </c>
      <c r="C23" s="28">
        <v>80</v>
      </c>
      <c r="D23" s="28">
        <v>4.5</v>
      </c>
      <c r="E23" s="28">
        <v>4.5</v>
      </c>
      <c r="F23" s="28">
        <v>9</v>
      </c>
      <c r="G23" s="28">
        <v>10.26</v>
      </c>
    </row>
    <row r="24" spans="1:7" x14ac:dyDescent="0.25">
      <c r="A24" s="29" t="s">
        <v>310</v>
      </c>
      <c r="B24" s="30">
        <v>90</v>
      </c>
      <c r="C24" s="30">
        <v>90</v>
      </c>
      <c r="D24" s="30">
        <v>2.3</v>
      </c>
      <c r="E24" s="30">
        <v>2.3</v>
      </c>
      <c r="F24" s="30">
        <v>4.6</v>
      </c>
      <c r="G24" s="30">
        <v>6.23</v>
      </c>
    </row>
    <row r="25" spans="1:7" x14ac:dyDescent="0.25">
      <c r="A25" s="27" t="s">
        <v>311</v>
      </c>
      <c r="B25" s="28">
        <v>90</v>
      </c>
      <c r="C25" s="28">
        <v>90</v>
      </c>
      <c r="D25" s="28">
        <v>3.2</v>
      </c>
      <c r="E25" s="28">
        <v>3.2</v>
      </c>
      <c r="F25" s="28">
        <v>6.4</v>
      </c>
      <c r="G25" s="28">
        <v>8.51</v>
      </c>
    </row>
    <row r="26" spans="1:7" x14ac:dyDescent="0.25">
      <c r="A26" s="29" t="s">
        <v>312</v>
      </c>
      <c r="B26" s="30">
        <v>100</v>
      </c>
      <c r="C26" s="30">
        <v>100</v>
      </c>
      <c r="D26" s="30">
        <v>2.3</v>
      </c>
      <c r="E26" s="30">
        <v>2.3</v>
      </c>
      <c r="F26" s="30">
        <v>4.6</v>
      </c>
      <c r="G26" s="30">
        <v>6.95</v>
      </c>
    </row>
    <row r="27" spans="1:7" x14ac:dyDescent="0.25">
      <c r="A27" s="27" t="s">
        <v>313</v>
      </c>
      <c r="B27" s="28">
        <v>100</v>
      </c>
      <c r="C27" s="28">
        <v>100</v>
      </c>
      <c r="D27" s="28">
        <v>3.2</v>
      </c>
      <c r="E27" s="28">
        <v>3.2</v>
      </c>
      <c r="F27" s="28">
        <v>6.4</v>
      </c>
      <c r="G27" s="28">
        <v>9.52</v>
      </c>
    </row>
    <row r="28" spans="1:7" x14ac:dyDescent="0.25">
      <c r="A28" s="29" t="s">
        <v>314</v>
      </c>
      <c r="B28" s="30">
        <v>100</v>
      </c>
      <c r="C28" s="30">
        <v>100</v>
      </c>
      <c r="D28" s="30">
        <v>4</v>
      </c>
      <c r="E28" s="30">
        <v>4</v>
      </c>
      <c r="F28" s="30">
        <v>8</v>
      </c>
      <c r="G28" s="30">
        <v>11.73</v>
      </c>
    </row>
    <row r="29" spans="1:7" x14ac:dyDescent="0.25">
      <c r="A29" s="27" t="s">
        <v>315</v>
      </c>
      <c r="B29" s="28">
        <v>100</v>
      </c>
      <c r="C29" s="28">
        <v>100</v>
      </c>
      <c r="D29" s="28">
        <v>4.5</v>
      </c>
      <c r="E29" s="28">
        <v>4.5</v>
      </c>
      <c r="F29" s="28">
        <v>9</v>
      </c>
      <c r="G29" s="28">
        <v>13.08</v>
      </c>
    </row>
    <row r="30" spans="1:7" x14ac:dyDescent="0.25">
      <c r="A30" s="29" t="s">
        <v>316</v>
      </c>
      <c r="B30" s="30">
        <v>100</v>
      </c>
      <c r="C30" s="30">
        <v>100</v>
      </c>
      <c r="D30" s="30">
        <v>6</v>
      </c>
      <c r="E30" s="30">
        <v>6</v>
      </c>
      <c r="F30" s="30">
        <v>12</v>
      </c>
      <c r="G30" s="30">
        <v>16.98</v>
      </c>
    </row>
    <row r="31" spans="1:7" x14ac:dyDescent="0.25">
      <c r="A31" s="27" t="s">
        <v>317</v>
      </c>
      <c r="B31" s="28">
        <v>100</v>
      </c>
      <c r="C31" s="28">
        <v>100</v>
      </c>
      <c r="D31" s="28">
        <v>9</v>
      </c>
      <c r="E31" s="28">
        <v>9</v>
      </c>
      <c r="F31" s="28">
        <v>18</v>
      </c>
      <c r="G31" s="28">
        <v>24.08</v>
      </c>
    </row>
    <row r="32" spans="1:7" x14ac:dyDescent="0.25">
      <c r="A32" s="29" t="s">
        <v>318</v>
      </c>
      <c r="B32" s="30">
        <v>100</v>
      </c>
      <c r="C32" s="30">
        <v>100</v>
      </c>
      <c r="D32" s="30">
        <v>12</v>
      </c>
      <c r="E32" s="30">
        <v>12</v>
      </c>
      <c r="F32" s="30">
        <v>24</v>
      </c>
      <c r="G32" s="30">
        <v>30.25</v>
      </c>
    </row>
    <row r="33" spans="1:7" x14ac:dyDescent="0.25">
      <c r="A33" s="27" t="s">
        <v>319</v>
      </c>
      <c r="B33" s="28">
        <v>125</v>
      </c>
      <c r="C33" s="28">
        <v>125</v>
      </c>
      <c r="D33" s="28">
        <v>3.2</v>
      </c>
      <c r="E33" s="28">
        <v>3.2</v>
      </c>
      <c r="F33" s="28">
        <v>6.4</v>
      </c>
      <c r="G33" s="28">
        <v>12.03</v>
      </c>
    </row>
    <row r="34" spans="1:7" x14ac:dyDescent="0.25">
      <c r="A34" s="29" t="s">
        <v>320</v>
      </c>
      <c r="B34" s="30">
        <v>125</v>
      </c>
      <c r="C34" s="30">
        <v>125</v>
      </c>
      <c r="D34" s="30">
        <v>4.5</v>
      </c>
      <c r="E34" s="30">
        <v>4.5</v>
      </c>
      <c r="F34" s="30">
        <v>9</v>
      </c>
      <c r="G34" s="30">
        <v>16.62</v>
      </c>
    </row>
    <row r="35" spans="1:7" x14ac:dyDescent="0.25">
      <c r="A35" s="27" t="s">
        <v>321</v>
      </c>
      <c r="B35" s="28">
        <v>125</v>
      </c>
      <c r="C35" s="28">
        <v>125</v>
      </c>
      <c r="D35" s="28">
        <v>5</v>
      </c>
      <c r="E35" s="28">
        <v>5</v>
      </c>
      <c r="F35" s="28">
        <v>10</v>
      </c>
      <c r="G35" s="28">
        <v>18.33</v>
      </c>
    </row>
    <row r="36" spans="1:7" x14ac:dyDescent="0.25">
      <c r="A36" s="29" t="s">
        <v>322</v>
      </c>
      <c r="B36" s="30">
        <v>125</v>
      </c>
      <c r="C36" s="30">
        <v>125</v>
      </c>
      <c r="D36" s="30">
        <v>6</v>
      </c>
      <c r="E36" s="30">
        <v>6</v>
      </c>
      <c r="F36" s="30">
        <v>12</v>
      </c>
      <c r="G36" s="30">
        <v>21.69</v>
      </c>
    </row>
    <row r="37" spans="1:7" x14ac:dyDescent="0.25">
      <c r="A37" s="27" t="s">
        <v>323</v>
      </c>
      <c r="B37" s="28">
        <v>125</v>
      </c>
      <c r="C37" s="28">
        <v>125</v>
      </c>
      <c r="D37" s="28">
        <v>9</v>
      </c>
      <c r="E37" s="28">
        <v>9</v>
      </c>
      <c r="F37" s="28">
        <v>18</v>
      </c>
      <c r="G37" s="28">
        <v>31.14</v>
      </c>
    </row>
    <row r="38" spans="1:7" x14ac:dyDescent="0.25">
      <c r="A38" s="29" t="s">
        <v>324</v>
      </c>
      <c r="B38" s="30">
        <v>125</v>
      </c>
      <c r="C38" s="30">
        <v>125</v>
      </c>
      <c r="D38" s="30">
        <v>12</v>
      </c>
      <c r="E38" s="30">
        <v>12</v>
      </c>
      <c r="F38" s="30">
        <v>24</v>
      </c>
      <c r="G38" s="30">
        <v>39.67</v>
      </c>
    </row>
    <row r="39" spans="1:7" x14ac:dyDescent="0.25">
      <c r="A39" s="27" t="s">
        <v>325</v>
      </c>
      <c r="B39" s="28">
        <v>150</v>
      </c>
      <c r="C39" s="28">
        <v>150</v>
      </c>
      <c r="D39" s="28">
        <v>4.5</v>
      </c>
      <c r="E39" s="28">
        <v>4.5</v>
      </c>
      <c r="F39" s="28">
        <v>9</v>
      </c>
      <c r="G39" s="28">
        <v>20.15</v>
      </c>
    </row>
    <row r="40" spans="1:7" x14ac:dyDescent="0.25">
      <c r="A40" s="29" t="s">
        <v>326</v>
      </c>
      <c r="B40" s="30">
        <v>150</v>
      </c>
      <c r="C40" s="30">
        <v>150</v>
      </c>
      <c r="D40" s="30">
        <v>5</v>
      </c>
      <c r="E40" s="30">
        <v>5</v>
      </c>
      <c r="F40" s="30">
        <v>10</v>
      </c>
      <c r="G40" s="30">
        <v>22.26</v>
      </c>
    </row>
    <row r="41" spans="1:7" x14ac:dyDescent="0.25">
      <c r="A41" s="27" t="s">
        <v>327</v>
      </c>
      <c r="B41" s="28">
        <v>150</v>
      </c>
      <c r="C41" s="28">
        <v>150</v>
      </c>
      <c r="D41" s="28">
        <v>6</v>
      </c>
      <c r="E41" s="28">
        <v>6</v>
      </c>
      <c r="F41" s="28">
        <v>12</v>
      </c>
      <c r="G41" s="28">
        <v>26.4</v>
      </c>
    </row>
    <row r="42" spans="1:7" x14ac:dyDescent="0.25">
      <c r="A42" s="29" t="s">
        <v>328</v>
      </c>
      <c r="B42" s="30">
        <v>150</v>
      </c>
      <c r="C42" s="30">
        <v>150</v>
      </c>
      <c r="D42" s="30">
        <v>9</v>
      </c>
      <c r="E42" s="30">
        <v>9</v>
      </c>
      <c r="F42" s="30">
        <v>18</v>
      </c>
      <c r="G42" s="30">
        <v>38.21</v>
      </c>
    </row>
    <row r="43" spans="1:7" x14ac:dyDescent="0.25">
      <c r="A43" s="27" t="s">
        <v>329</v>
      </c>
      <c r="B43" s="28">
        <v>175</v>
      </c>
      <c r="C43" s="28">
        <v>175</v>
      </c>
      <c r="D43" s="28">
        <v>4.5</v>
      </c>
      <c r="E43" s="28">
        <v>4.5</v>
      </c>
      <c r="F43" s="28">
        <v>9</v>
      </c>
      <c r="G43" s="28">
        <v>23.68</v>
      </c>
    </row>
    <row r="44" spans="1:7" x14ac:dyDescent="0.25">
      <c r="A44" s="29" t="s">
        <v>330</v>
      </c>
      <c r="B44" s="30">
        <v>175</v>
      </c>
      <c r="C44" s="30">
        <v>175</v>
      </c>
      <c r="D44" s="30">
        <v>5</v>
      </c>
      <c r="E44" s="30">
        <v>5</v>
      </c>
      <c r="F44" s="30">
        <v>10</v>
      </c>
      <c r="G44" s="30">
        <v>26.18</v>
      </c>
    </row>
    <row r="45" spans="1:7" x14ac:dyDescent="0.25">
      <c r="A45" s="27" t="s">
        <v>331</v>
      </c>
      <c r="B45" s="28">
        <v>175</v>
      </c>
      <c r="C45" s="28">
        <v>175</v>
      </c>
      <c r="D45" s="28">
        <v>6</v>
      </c>
      <c r="E45" s="28">
        <v>6</v>
      </c>
      <c r="F45" s="28">
        <v>12</v>
      </c>
      <c r="G45" s="28">
        <v>31.11</v>
      </c>
    </row>
    <row r="46" spans="1:7" x14ac:dyDescent="0.25">
      <c r="A46" s="29" t="s">
        <v>332</v>
      </c>
      <c r="B46" s="30">
        <v>200</v>
      </c>
      <c r="C46" s="30">
        <v>200</v>
      </c>
      <c r="D46" s="30">
        <v>4.5</v>
      </c>
      <c r="E46" s="30">
        <v>4.5</v>
      </c>
      <c r="F46" s="30">
        <v>9</v>
      </c>
      <c r="G46" s="30">
        <v>27.21</v>
      </c>
    </row>
    <row r="47" spans="1:7" x14ac:dyDescent="0.25">
      <c r="A47" s="27" t="s">
        <v>333</v>
      </c>
      <c r="B47" s="28">
        <v>200</v>
      </c>
      <c r="C47" s="28">
        <v>200</v>
      </c>
      <c r="D47" s="28">
        <v>5</v>
      </c>
      <c r="E47" s="28">
        <v>5</v>
      </c>
      <c r="F47" s="28">
        <v>10</v>
      </c>
      <c r="G47" s="28">
        <v>30.11</v>
      </c>
    </row>
    <row r="48" spans="1:7" x14ac:dyDescent="0.25">
      <c r="A48" s="29" t="s">
        <v>334</v>
      </c>
      <c r="B48" s="30">
        <v>200</v>
      </c>
      <c r="C48" s="30">
        <v>200</v>
      </c>
      <c r="D48" s="30">
        <v>6</v>
      </c>
      <c r="E48" s="30">
        <v>6</v>
      </c>
      <c r="F48" s="30">
        <v>12</v>
      </c>
      <c r="G48" s="30">
        <v>35.82</v>
      </c>
    </row>
    <row r="49" spans="1:7" x14ac:dyDescent="0.25">
      <c r="A49" s="27" t="s">
        <v>335</v>
      </c>
      <c r="B49" s="28">
        <v>200</v>
      </c>
      <c r="C49" s="28">
        <v>200</v>
      </c>
      <c r="D49" s="28">
        <v>9</v>
      </c>
      <c r="E49" s="28">
        <v>9</v>
      </c>
      <c r="F49" s="28">
        <v>18</v>
      </c>
      <c r="G49" s="28">
        <v>52.34</v>
      </c>
    </row>
    <row r="50" spans="1:7" x14ac:dyDescent="0.25">
      <c r="A50" s="29" t="s">
        <v>336</v>
      </c>
      <c r="B50" s="30">
        <v>200</v>
      </c>
      <c r="C50" s="30">
        <v>200</v>
      </c>
      <c r="D50" s="30">
        <v>12</v>
      </c>
      <c r="E50" s="30">
        <v>12</v>
      </c>
      <c r="F50" s="30">
        <v>24</v>
      </c>
      <c r="G50" s="30">
        <v>67.93</v>
      </c>
    </row>
    <row r="51" spans="1:7" x14ac:dyDescent="0.25">
      <c r="A51" s="27" t="s">
        <v>337</v>
      </c>
      <c r="B51" s="28">
        <v>250</v>
      </c>
      <c r="C51" s="28">
        <v>250</v>
      </c>
      <c r="D51" s="28">
        <v>5</v>
      </c>
      <c r="E51" s="28">
        <v>5</v>
      </c>
      <c r="F51" s="28">
        <v>10</v>
      </c>
      <c r="G51" s="28">
        <v>37.96</v>
      </c>
    </row>
    <row r="52" spans="1:7" x14ac:dyDescent="0.25">
      <c r="A52" s="29" t="s">
        <v>338</v>
      </c>
      <c r="B52" s="30">
        <v>250</v>
      </c>
      <c r="C52" s="30">
        <v>250</v>
      </c>
      <c r="D52" s="30">
        <v>6</v>
      </c>
      <c r="E52" s="30">
        <v>6</v>
      </c>
      <c r="F52" s="30">
        <v>12</v>
      </c>
      <c r="G52" s="30">
        <v>45.24</v>
      </c>
    </row>
    <row r="53" spans="1:7" x14ac:dyDescent="0.25">
      <c r="A53" s="27" t="s">
        <v>339</v>
      </c>
      <c r="B53" s="28">
        <v>250</v>
      </c>
      <c r="C53" s="28">
        <v>250</v>
      </c>
      <c r="D53" s="28">
        <v>8</v>
      </c>
      <c r="E53" s="28">
        <v>8</v>
      </c>
      <c r="F53" s="28">
        <v>16</v>
      </c>
      <c r="G53" s="28">
        <v>59.5</v>
      </c>
    </row>
    <row r="54" spans="1:7" x14ac:dyDescent="0.25">
      <c r="A54" s="29" t="s">
        <v>340</v>
      </c>
      <c r="B54" s="30">
        <v>250</v>
      </c>
      <c r="C54" s="30">
        <v>250</v>
      </c>
      <c r="D54" s="30">
        <v>9</v>
      </c>
      <c r="E54" s="30">
        <v>9</v>
      </c>
      <c r="F54" s="30">
        <v>18</v>
      </c>
      <c r="G54" s="30">
        <v>66.47</v>
      </c>
    </row>
    <row r="55" spans="1:7" x14ac:dyDescent="0.25">
      <c r="A55" s="27" t="s">
        <v>341</v>
      </c>
      <c r="B55" s="28">
        <v>250</v>
      </c>
      <c r="C55" s="28">
        <v>250</v>
      </c>
      <c r="D55" s="28">
        <v>12</v>
      </c>
      <c r="E55" s="28">
        <v>12</v>
      </c>
      <c r="F55" s="28">
        <v>24</v>
      </c>
      <c r="G55" s="28">
        <v>86.77</v>
      </c>
    </row>
    <row r="56" spans="1:7" x14ac:dyDescent="0.25">
      <c r="A56" s="29" t="s">
        <v>342</v>
      </c>
      <c r="B56" s="30">
        <v>300</v>
      </c>
      <c r="C56" s="30">
        <v>300</v>
      </c>
      <c r="D56" s="30">
        <v>4.5</v>
      </c>
      <c r="E56" s="30">
        <v>4.5</v>
      </c>
      <c r="F56" s="30">
        <v>9</v>
      </c>
      <c r="G56" s="30">
        <v>41.34</v>
      </c>
    </row>
    <row r="57" spans="1:7" x14ac:dyDescent="0.25">
      <c r="A57" s="27" t="s">
        <v>343</v>
      </c>
      <c r="B57" s="28">
        <v>300</v>
      </c>
      <c r="C57" s="28">
        <v>300</v>
      </c>
      <c r="D57" s="28">
        <v>6</v>
      </c>
      <c r="E57" s="28">
        <v>6</v>
      </c>
      <c r="F57" s="28">
        <v>12</v>
      </c>
      <c r="G57" s="28">
        <v>54.66</v>
      </c>
    </row>
    <row r="58" spans="1:7" x14ac:dyDescent="0.25">
      <c r="A58" s="29" t="s">
        <v>344</v>
      </c>
      <c r="B58" s="30">
        <v>300</v>
      </c>
      <c r="C58" s="30">
        <v>300</v>
      </c>
      <c r="D58" s="30">
        <v>9</v>
      </c>
      <c r="E58" s="30">
        <v>9</v>
      </c>
      <c r="F58" s="30">
        <v>18</v>
      </c>
      <c r="G58" s="30">
        <v>80.6</v>
      </c>
    </row>
    <row r="59" spans="1:7" x14ac:dyDescent="0.25">
      <c r="A59" s="27" t="s">
        <v>345</v>
      </c>
      <c r="B59" s="28">
        <v>300</v>
      </c>
      <c r="C59" s="28">
        <v>300</v>
      </c>
      <c r="D59" s="28">
        <v>12</v>
      </c>
      <c r="E59" s="28">
        <v>12</v>
      </c>
      <c r="F59" s="28">
        <v>24</v>
      </c>
      <c r="G59" s="28">
        <v>105.61</v>
      </c>
    </row>
    <row r="60" spans="1:7" x14ac:dyDescent="0.25">
      <c r="A60" s="29" t="s">
        <v>346</v>
      </c>
      <c r="B60" s="30">
        <v>200</v>
      </c>
      <c r="C60" s="30">
        <v>200</v>
      </c>
      <c r="D60" s="30">
        <v>6</v>
      </c>
      <c r="E60" s="30">
        <v>6</v>
      </c>
      <c r="F60" s="30">
        <v>15</v>
      </c>
      <c r="G60" s="30">
        <v>35.58</v>
      </c>
    </row>
    <row r="61" spans="1:7" x14ac:dyDescent="0.25">
      <c r="A61" s="27" t="s">
        <v>347</v>
      </c>
      <c r="B61" s="28">
        <v>200</v>
      </c>
      <c r="C61" s="28">
        <v>200</v>
      </c>
      <c r="D61" s="28">
        <v>8</v>
      </c>
      <c r="E61" s="28">
        <v>8</v>
      </c>
      <c r="F61" s="28">
        <v>20</v>
      </c>
      <c r="G61" s="28">
        <v>46.51</v>
      </c>
    </row>
    <row r="62" spans="1:7" x14ac:dyDescent="0.25">
      <c r="A62" s="29" t="s">
        <v>348</v>
      </c>
      <c r="B62" s="30">
        <v>200</v>
      </c>
      <c r="C62" s="30">
        <v>200</v>
      </c>
      <c r="D62" s="30">
        <v>9</v>
      </c>
      <c r="E62" s="30">
        <v>9</v>
      </c>
      <c r="F62" s="30">
        <v>22.5</v>
      </c>
      <c r="G62" s="30">
        <v>51.79</v>
      </c>
    </row>
    <row r="63" spans="1:7" x14ac:dyDescent="0.25">
      <c r="A63" s="27" t="s">
        <v>349</v>
      </c>
      <c r="B63" s="28">
        <v>200</v>
      </c>
      <c r="C63" s="28">
        <v>200</v>
      </c>
      <c r="D63" s="28">
        <v>12</v>
      </c>
      <c r="E63" s="28">
        <v>12</v>
      </c>
      <c r="F63" s="28">
        <v>30</v>
      </c>
      <c r="G63" s="28">
        <v>66.96</v>
      </c>
    </row>
    <row r="64" spans="1:7" x14ac:dyDescent="0.25">
      <c r="A64" s="29" t="s">
        <v>350</v>
      </c>
      <c r="B64" s="30">
        <v>250</v>
      </c>
      <c r="C64" s="30">
        <v>250</v>
      </c>
      <c r="D64" s="30">
        <v>6</v>
      </c>
      <c r="E64" s="30">
        <v>6</v>
      </c>
      <c r="F64" s="30">
        <v>15</v>
      </c>
      <c r="G64" s="30">
        <v>45</v>
      </c>
    </row>
    <row r="65" spans="1:7" x14ac:dyDescent="0.25">
      <c r="A65" s="27" t="s">
        <v>351</v>
      </c>
      <c r="B65" s="28">
        <v>250</v>
      </c>
      <c r="C65" s="28">
        <v>250</v>
      </c>
      <c r="D65" s="28">
        <v>8</v>
      </c>
      <c r="E65" s="28">
        <v>8</v>
      </c>
      <c r="F65" s="28">
        <v>20</v>
      </c>
      <c r="G65" s="28">
        <v>59.07</v>
      </c>
    </row>
    <row r="66" spans="1:7" x14ac:dyDescent="0.25">
      <c r="A66" s="29" t="s">
        <v>352</v>
      </c>
      <c r="B66" s="30">
        <v>250</v>
      </c>
      <c r="C66" s="30">
        <v>250</v>
      </c>
      <c r="D66" s="30">
        <v>9</v>
      </c>
      <c r="E66" s="30">
        <v>9</v>
      </c>
      <c r="F66" s="30">
        <v>22.5</v>
      </c>
      <c r="G66" s="30">
        <v>65.92</v>
      </c>
    </row>
    <row r="67" spans="1:7" x14ac:dyDescent="0.25">
      <c r="A67" s="27" t="s">
        <v>353</v>
      </c>
      <c r="B67" s="28">
        <v>250</v>
      </c>
      <c r="C67" s="28">
        <v>250</v>
      </c>
      <c r="D67" s="28">
        <v>12</v>
      </c>
      <c r="E67" s="28">
        <v>12</v>
      </c>
      <c r="F67" s="28">
        <v>30</v>
      </c>
      <c r="G67" s="28">
        <v>85.8</v>
      </c>
    </row>
    <row r="68" spans="1:7" x14ac:dyDescent="0.25">
      <c r="A68" s="29" t="s">
        <v>354</v>
      </c>
      <c r="B68" s="30">
        <v>250</v>
      </c>
      <c r="C68" s="30">
        <v>250</v>
      </c>
      <c r="D68" s="30">
        <v>14</v>
      </c>
      <c r="E68" s="30">
        <v>14</v>
      </c>
      <c r="F68" s="30">
        <v>35</v>
      </c>
      <c r="G68" s="30">
        <v>98.46</v>
      </c>
    </row>
    <row r="69" spans="1:7" x14ac:dyDescent="0.25">
      <c r="A69" s="27" t="s">
        <v>355</v>
      </c>
      <c r="B69" s="28">
        <v>250</v>
      </c>
      <c r="C69" s="28">
        <v>250</v>
      </c>
      <c r="D69" s="28">
        <v>16</v>
      </c>
      <c r="E69" s="28">
        <v>16</v>
      </c>
      <c r="F69" s="28">
        <v>40</v>
      </c>
      <c r="G69" s="28">
        <v>110.66</v>
      </c>
    </row>
    <row r="70" spans="1:7" x14ac:dyDescent="0.25">
      <c r="A70" s="29" t="s">
        <v>356</v>
      </c>
      <c r="B70" s="30">
        <v>300</v>
      </c>
      <c r="C70" s="30">
        <v>300</v>
      </c>
      <c r="D70" s="30">
        <v>6</v>
      </c>
      <c r="E70" s="30">
        <v>6</v>
      </c>
      <c r="F70" s="30">
        <v>15</v>
      </c>
      <c r="G70" s="30">
        <v>54.42</v>
      </c>
    </row>
    <row r="71" spans="1:7" x14ac:dyDescent="0.25">
      <c r="A71" s="27" t="s">
        <v>357</v>
      </c>
      <c r="B71" s="28">
        <v>300</v>
      </c>
      <c r="C71" s="28">
        <v>300</v>
      </c>
      <c r="D71" s="28">
        <v>8</v>
      </c>
      <c r="E71" s="28">
        <v>8</v>
      </c>
      <c r="F71" s="28">
        <v>20</v>
      </c>
      <c r="G71" s="28">
        <v>71.63</v>
      </c>
    </row>
    <row r="72" spans="1:7" x14ac:dyDescent="0.25">
      <c r="A72" s="29" t="s">
        <v>358</v>
      </c>
      <c r="B72" s="30">
        <v>300</v>
      </c>
      <c r="C72" s="30">
        <v>300</v>
      </c>
      <c r="D72" s="30">
        <v>9</v>
      </c>
      <c r="E72" s="30">
        <v>9</v>
      </c>
      <c r="F72" s="30">
        <v>22.5</v>
      </c>
      <c r="G72" s="30">
        <v>80.05</v>
      </c>
    </row>
    <row r="73" spans="1:7" x14ac:dyDescent="0.25">
      <c r="A73" s="27" t="s">
        <v>359</v>
      </c>
      <c r="B73" s="28">
        <v>300</v>
      </c>
      <c r="C73" s="28">
        <v>300</v>
      </c>
      <c r="D73" s="28">
        <v>12</v>
      </c>
      <c r="E73" s="28">
        <v>12</v>
      </c>
      <c r="F73" s="28">
        <v>30</v>
      </c>
      <c r="G73" s="28">
        <v>104.64</v>
      </c>
    </row>
    <row r="74" spans="1:7" x14ac:dyDescent="0.25">
      <c r="A74" s="29" t="s">
        <v>360</v>
      </c>
      <c r="B74" s="30">
        <v>300</v>
      </c>
      <c r="C74" s="30">
        <v>300</v>
      </c>
      <c r="D74" s="30">
        <v>14</v>
      </c>
      <c r="E74" s="30">
        <v>14</v>
      </c>
      <c r="F74" s="30">
        <v>35</v>
      </c>
      <c r="G74" s="30">
        <v>120.44</v>
      </c>
    </row>
    <row r="75" spans="1:7" x14ac:dyDescent="0.25">
      <c r="A75" s="27" t="s">
        <v>361</v>
      </c>
      <c r="B75" s="28">
        <v>300</v>
      </c>
      <c r="C75" s="28">
        <v>300</v>
      </c>
      <c r="D75" s="28">
        <v>16</v>
      </c>
      <c r="E75" s="28">
        <v>16</v>
      </c>
      <c r="F75" s="28">
        <v>40</v>
      </c>
      <c r="G75" s="28">
        <v>135.78</v>
      </c>
    </row>
    <row r="76" spans="1:7" x14ac:dyDescent="0.25">
      <c r="A76" s="29" t="s">
        <v>362</v>
      </c>
      <c r="B76" s="30">
        <v>300</v>
      </c>
      <c r="C76" s="30">
        <v>300</v>
      </c>
      <c r="D76" s="30">
        <v>19</v>
      </c>
      <c r="E76" s="30">
        <v>19</v>
      </c>
      <c r="F76" s="30">
        <v>47.5</v>
      </c>
      <c r="G76" s="30">
        <v>157.91</v>
      </c>
    </row>
    <row r="77" spans="1:7" x14ac:dyDescent="0.25">
      <c r="A77" s="27" t="s">
        <v>363</v>
      </c>
      <c r="B77" s="28">
        <v>350</v>
      </c>
      <c r="C77" s="28">
        <v>350</v>
      </c>
      <c r="D77" s="28">
        <v>9</v>
      </c>
      <c r="E77" s="28">
        <v>9</v>
      </c>
      <c r="F77" s="28">
        <v>22.5</v>
      </c>
      <c r="G77" s="28">
        <v>94.18</v>
      </c>
    </row>
    <row r="78" spans="1:7" x14ac:dyDescent="0.25">
      <c r="A78" s="29" t="s">
        <v>364</v>
      </c>
      <c r="B78" s="30">
        <v>350</v>
      </c>
      <c r="C78" s="30">
        <v>350</v>
      </c>
      <c r="D78" s="30">
        <v>12</v>
      </c>
      <c r="E78" s="30">
        <v>12</v>
      </c>
      <c r="F78" s="30">
        <v>30</v>
      </c>
      <c r="G78" s="30">
        <v>123.48</v>
      </c>
    </row>
    <row r="79" spans="1:7" x14ac:dyDescent="0.25">
      <c r="A79" s="27" t="s">
        <v>365</v>
      </c>
      <c r="B79" s="28">
        <v>350</v>
      </c>
      <c r="C79" s="28">
        <v>350</v>
      </c>
      <c r="D79" s="28">
        <v>14</v>
      </c>
      <c r="E79" s="28">
        <v>14</v>
      </c>
      <c r="F79" s="28">
        <v>35</v>
      </c>
      <c r="G79" s="28">
        <v>142.42</v>
      </c>
    </row>
    <row r="80" spans="1:7" x14ac:dyDescent="0.25">
      <c r="A80" s="29" t="s">
        <v>366</v>
      </c>
      <c r="B80" s="30">
        <v>350</v>
      </c>
      <c r="C80" s="30">
        <v>350</v>
      </c>
      <c r="D80" s="30">
        <v>16</v>
      </c>
      <c r="E80" s="30">
        <v>16</v>
      </c>
      <c r="F80" s="30">
        <v>40</v>
      </c>
      <c r="G80" s="30">
        <v>160.9</v>
      </c>
    </row>
    <row r="81" spans="1:7" x14ac:dyDescent="0.25">
      <c r="A81" s="27" t="s">
        <v>367</v>
      </c>
      <c r="B81" s="28">
        <v>350</v>
      </c>
      <c r="C81" s="28">
        <v>350</v>
      </c>
      <c r="D81" s="28">
        <v>19</v>
      </c>
      <c r="E81" s="28">
        <v>19</v>
      </c>
      <c r="F81" s="28">
        <v>47.5</v>
      </c>
      <c r="G81" s="28">
        <v>187.74</v>
      </c>
    </row>
    <row r="82" spans="1:7" x14ac:dyDescent="0.25">
      <c r="A82" s="29" t="s">
        <v>368</v>
      </c>
      <c r="B82" s="30">
        <v>350</v>
      </c>
      <c r="C82" s="30">
        <v>350</v>
      </c>
      <c r="D82" s="30">
        <v>22</v>
      </c>
      <c r="E82" s="30">
        <v>22</v>
      </c>
      <c r="F82" s="30">
        <v>55</v>
      </c>
      <c r="G82" s="30">
        <v>213.54</v>
      </c>
    </row>
    <row r="83" spans="1:7" x14ac:dyDescent="0.25">
      <c r="A83" s="27" t="s">
        <v>369</v>
      </c>
      <c r="B83" s="28">
        <v>400</v>
      </c>
      <c r="C83" s="28">
        <v>400</v>
      </c>
      <c r="D83" s="28">
        <v>9</v>
      </c>
      <c r="E83" s="28">
        <v>9</v>
      </c>
      <c r="F83" s="28">
        <v>22.5</v>
      </c>
      <c r="G83" s="28">
        <v>108.31</v>
      </c>
    </row>
    <row r="84" spans="1:7" x14ac:dyDescent="0.25">
      <c r="A84" s="29" t="s">
        <v>370</v>
      </c>
      <c r="B84" s="30">
        <v>400</v>
      </c>
      <c r="C84" s="30">
        <v>400</v>
      </c>
      <c r="D84" s="30">
        <v>12</v>
      </c>
      <c r="E84" s="30">
        <v>12</v>
      </c>
      <c r="F84" s="30">
        <v>30</v>
      </c>
      <c r="G84" s="30">
        <v>142.32</v>
      </c>
    </row>
    <row r="85" spans="1:7" x14ac:dyDescent="0.25">
      <c r="A85" s="27" t="s">
        <v>371</v>
      </c>
      <c r="B85" s="28">
        <v>400</v>
      </c>
      <c r="C85" s="28">
        <v>400</v>
      </c>
      <c r="D85" s="28">
        <v>14</v>
      </c>
      <c r="E85" s="28">
        <v>14</v>
      </c>
      <c r="F85" s="28">
        <v>35</v>
      </c>
      <c r="G85" s="28">
        <v>164.4</v>
      </c>
    </row>
    <row r="86" spans="1:7" x14ac:dyDescent="0.25">
      <c r="A86" s="29" t="s">
        <v>372</v>
      </c>
      <c r="B86" s="30">
        <v>400</v>
      </c>
      <c r="C86" s="30">
        <v>400</v>
      </c>
      <c r="D86" s="30">
        <v>16</v>
      </c>
      <c r="E86" s="30">
        <v>16</v>
      </c>
      <c r="F86" s="30">
        <v>40</v>
      </c>
      <c r="G86" s="30">
        <v>186.02</v>
      </c>
    </row>
    <row r="87" spans="1:7" x14ac:dyDescent="0.25">
      <c r="A87" s="27" t="s">
        <v>373</v>
      </c>
      <c r="B87" s="28">
        <v>400</v>
      </c>
      <c r="C87" s="28">
        <v>400</v>
      </c>
      <c r="D87" s="28">
        <v>19</v>
      </c>
      <c r="E87" s="28">
        <v>19</v>
      </c>
      <c r="F87" s="28">
        <v>47.5</v>
      </c>
      <c r="G87" s="28">
        <v>217.57</v>
      </c>
    </row>
    <row r="88" spans="1:7" x14ac:dyDescent="0.25">
      <c r="A88" s="29" t="s">
        <v>374</v>
      </c>
      <c r="B88" s="30">
        <v>400</v>
      </c>
      <c r="C88" s="30">
        <v>400</v>
      </c>
      <c r="D88" s="30">
        <v>22</v>
      </c>
      <c r="E88" s="30">
        <v>22</v>
      </c>
      <c r="F88" s="30">
        <v>55</v>
      </c>
      <c r="G88" s="30">
        <v>248.08</v>
      </c>
    </row>
    <row r="89" spans="1:7" x14ac:dyDescent="0.25">
      <c r="A89" s="27" t="s">
        <v>375</v>
      </c>
      <c r="B89" s="28">
        <v>450</v>
      </c>
      <c r="C89" s="28">
        <v>450</v>
      </c>
      <c r="D89" s="28">
        <v>9</v>
      </c>
      <c r="E89" s="28">
        <v>9</v>
      </c>
      <c r="F89" s="28">
        <v>22.5</v>
      </c>
      <c r="G89" s="28">
        <v>122.44</v>
      </c>
    </row>
    <row r="90" spans="1:7" x14ac:dyDescent="0.25">
      <c r="A90" s="29" t="s">
        <v>376</v>
      </c>
      <c r="B90" s="30">
        <v>450</v>
      </c>
      <c r="C90" s="30">
        <v>450</v>
      </c>
      <c r="D90" s="30">
        <v>12</v>
      </c>
      <c r="E90" s="30">
        <v>12</v>
      </c>
      <c r="F90" s="30">
        <v>30</v>
      </c>
      <c r="G90" s="30">
        <v>161.16</v>
      </c>
    </row>
    <row r="91" spans="1:7" x14ac:dyDescent="0.25">
      <c r="A91" s="27" t="s">
        <v>377</v>
      </c>
      <c r="B91" s="28">
        <v>450</v>
      </c>
      <c r="C91" s="28">
        <v>450</v>
      </c>
      <c r="D91" s="28">
        <v>14</v>
      </c>
      <c r="E91" s="28">
        <v>14</v>
      </c>
      <c r="F91" s="28">
        <v>35</v>
      </c>
      <c r="G91" s="28">
        <v>186.38</v>
      </c>
    </row>
    <row r="92" spans="1:7" x14ac:dyDescent="0.25">
      <c r="A92" s="29" t="s">
        <v>378</v>
      </c>
      <c r="B92" s="30">
        <v>450</v>
      </c>
      <c r="C92" s="30">
        <v>450</v>
      </c>
      <c r="D92" s="30">
        <v>16</v>
      </c>
      <c r="E92" s="30">
        <v>16</v>
      </c>
      <c r="F92" s="30">
        <v>40</v>
      </c>
      <c r="G92" s="30">
        <v>211.14</v>
      </c>
    </row>
    <row r="93" spans="1:7" x14ac:dyDescent="0.25">
      <c r="A93" s="27" t="s">
        <v>379</v>
      </c>
      <c r="B93" s="28">
        <v>450</v>
      </c>
      <c r="C93" s="28">
        <v>450</v>
      </c>
      <c r="D93" s="28">
        <v>19</v>
      </c>
      <c r="E93" s="28">
        <v>19</v>
      </c>
      <c r="F93" s="28">
        <v>47.5</v>
      </c>
      <c r="G93" s="28">
        <v>247.4</v>
      </c>
    </row>
    <row r="94" spans="1:7" x14ac:dyDescent="0.25">
      <c r="A94" s="29" t="s">
        <v>380</v>
      </c>
      <c r="B94" s="30">
        <v>450</v>
      </c>
      <c r="C94" s="30">
        <v>450</v>
      </c>
      <c r="D94" s="30">
        <v>22</v>
      </c>
      <c r="E94" s="30">
        <v>22</v>
      </c>
      <c r="F94" s="30">
        <v>55</v>
      </c>
      <c r="G94" s="30">
        <v>282.62</v>
      </c>
    </row>
    <row r="95" spans="1:7" x14ac:dyDescent="0.25">
      <c r="A95" s="27" t="s">
        <v>381</v>
      </c>
      <c r="B95" s="28">
        <v>500</v>
      </c>
      <c r="C95" s="28">
        <v>500</v>
      </c>
      <c r="D95" s="28">
        <v>9</v>
      </c>
      <c r="E95" s="28">
        <v>9</v>
      </c>
      <c r="F95" s="28">
        <v>22.5</v>
      </c>
      <c r="G95" s="28">
        <v>136.57</v>
      </c>
    </row>
    <row r="96" spans="1:7" x14ac:dyDescent="0.25">
      <c r="A96" s="29" t="s">
        <v>382</v>
      </c>
      <c r="B96" s="30">
        <v>500</v>
      </c>
      <c r="C96" s="30">
        <v>500</v>
      </c>
      <c r="D96" s="30">
        <v>12</v>
      </c>
      <c r="E96" s="30">
        <v>12</v>
      </c>
      <c r="F96" s="30">
        <v>30</v>
      </c>
      <c r="G96" s="30">
        <v>180</v>
      </c>
    </row>
    <row r="97" spans="1:7" x14ac:dyDescent="0.25">
      <c r="A97" s="27" t="s">
        <v>383</v>
      </c>
      <c r="B97" s="28">
        <v>500</v>
      </c>
      <c r="C97" s="28">
        <v>500</v>
      </c>
      <c r="D97" s="28">
        <v>14</v>
      </c>
      <c r="E97" s="28">
        <v>14</v>
      </c>
      <c r="F97" s="28">
        <v>35</v>
      </c>
      <c r="G97" s="28">
        <v>208.36</v>
      </c>
    </row>
    <row r="98" spans="1:7" x14ac:dyDescent="0.25">
      <c r="A98" s="29" t="s">
        <v>384</v>
      </c>
      <c r="B98" s="30">
        <v>500</v>
      </c>
      <c r="C98" s="30">
        <v>500</v>
      </c>
      <c r="D98" s="30">
        <v>16</v>
      </c>
      <c r="E98" s="30">
        <v>16</v>
      </c>
      <c r="F98" s="30">
        <v>40</v>
      </c>
      <c r="G98" s="30">
        <v>236.26</v>
      </c>
    </row>
    <row r="99" spans="1:7" x14ac:dyDescent="0.25">
      <c r="A99" s="27" t="s">
        <v>385</v>
      </c>
      <c r="B99" s="28">
        <v>500</v>
      </c>
      <c r="C99" s="28">
        <v>500</v>
      </c>
      <c r="D99" s="28">
        <v>19</v>
      </c>
      <c r="E99" s="28">
        <v>19</v>
      </c>
      <c r="F99" s="28">
        <v>47.5</v>
      </c>
      <c r="G99" s="28">
        <v>277.23</v>
      </c>
    </row>
    <row r="100" spans="1:7" x14ac:dyDescent="0.25">
      <c r="A100" s="29" t="s">
        <v>386</v>
      </c>
      <c r="B100" s="30">
        <v>500</v>
      </c>
      <c r="C100" s="30">
        <v>500</v>
      </c>
      <c r="D100" s="30">
        <v>22</v>
      </c>
      <c r="E100" s="30">
        <v>22</v>
      </c>
      <c r="F100" s="30">
        <v>55</v>
      </c>
      <c r="G100" s="30">
        <v>317.16</v>
      </c>
    </row>
    <row r="101" spans="1:7" x14ac:dyDescent="0.25">
      <c r="A101" s="27" t="s">
        <v>387</v>
      </c>
      <c r="B101" s="28">
        <v>550</v>
      </c>
      <c r="C101" s="28">
        <v>550</v>
      </c>
      <c r="D101" s="28">
        <v>12</v>
      </c>
      <c r="E101" s="28">
        <v>12</v>
      </c>
      <c r="F101" s="28">
        <v>30</v>
      </c>
      <c r="G101" s="28">
        <v>198.84</v>
      </c>
    </row>
    <row r="102" spans="1:7" x14ac:dyDescent="0.25">
      <c r="A102" s="29" t="s">
        <v>388</v>
      </c>
      <c r="B102" s="30">
        <v>550</v>
      </c>
      <c r="C102" s="30">
        <v>550</v>
      </c>
      <c r="D102" s="30">
        <v>14</v>
      </c>
      <c r="E102" s="30">
        <v>14</v>
      </c>
      <c r="F102" s="30">
        <v>35</v>
      </c>
      <c r="G102" s="30">
        <v>230.34</v>
      </c>
    </row>
    <row r="103" spans="1:7" x14ac:dyDescent="0.25">
      <c r="A103" s="27" t="s">
        <v>389</v>
      </c>
      <c r="B103" s="28">
        <v>550</v>
      </c>
      <c r="C103" s="28">
        <v>550</v>
      </c>
      <c r="D103" s="28">
        <v>16</v>
      </c>
      <c r="E103" s="28">
        <v>16</v>
      </c>
      <c r="F103" s="28">
        <v>40</v>
      </c>
      <c r="G103" s="28">
        <v>261.38</v>
      </c>
    </row>
    <row r="104" spans="1:7" x14ac:dyDescent="0.25">
      <c r="A104" s="29" t="s">
        <v>390</v>
      </c>
      <c r="B104" s="30">
        <v>550</v>
      </c>
      <c r="C104" s="30">
        <v>550</v>
      </c>
      <c r="D104" s="30">
        <v>19</v>
      </c>
      <c r="E104" s="30">
        <v>19</v>
      </c>
      <c r="F104" s="30">
        <v>47.5</v>
      </c>
      <c r="G104" s="30">
        <v>307.06</v>
      </c>
    </row>
    <row r="105" spans="1:7" x14ac:dyDescent="0.25">
      <c r="A105" s="27" t="s">
        <v>391</v>
      </c>
      <c r="B105" s="28">
        <v>550</v>
      </c>
      <c r="C105" s="28">
        <v>550</v>
      </c>
      <c r="D105" s="28">
        <v>22</v>
      </c>
      <c r="E105" s="28">
        <v>22</v>
      </c>
      <c r="F105" s="28">
        <v>55</v>
      </c>
      <c r="G105" s="28">
        <v>351.7</v>
      </c>
    </row>
    <row r="106" spans="1:7" x14ac:dyDescent="0.25">
      <c r="A106" s="29" t="s">
        <v>392</v>
      </c>
      <c r="B106" s="30">
        <v>600</v>
      </c>
      <c r="C106" s="30">
        <v>600</v>
      </c>
      <c r="D106" s="30">
        <v>9</v>
      </c>
      <c r="E106" s="30">
        <v>9</v>
      </c>
      <c r="F106" s="30">
        <v>31.5</v>
      </c>
      <c r="G106" s="30">
        <v>163.74</v>
      </c>
    </row>
    <row r="107" spans="1:7" x14ac:dyDescent="0.25">
      <c r="A107" s="27" t="s">
        <v>393</v>
      </c>
      <c r="B107" s="28">
        <v>600</v>
      </c>
      <c r="C107" s="28">
        <v>600</v>
      </c>
      <c r="D107" s="28">
        <v>12</v>
      </c>
      <c r="E107" s="28">
        <v>12</v>
      </c>
      <c r="F107" s="28">
        <v>42</v>
      </c>
      <c r="G107" s="28">
        <v>215.74</v>
      </c>
    </row>
    <row r="108" spans="1:7" x14ac:dyDescent="0.25">
      <c r="A108" s="29" t="s">
        <v>394</v>
      </c>
      <c r="B108" s="30">
        <v>600</v>
      </c>
      <c r="C108" s="30">
        <v>600</v>
      </c>
      <c r="D108" s="30">
        <v>16</v>
      </c>
      <c r="E108" s="30">
        <v>16</v>
      </c>
      <c r="F108" s="30">
        <v>56</v>
      </c>
      <c r="G108" s="30">
        <v>283.05</v>
      </c>
    </row>
    <row r="109" spans="1:7" x14ac:dyDescent="0.25">
      <c r="A109" s="27" t="s">
        <v>395</v>
      </c>
      <c r="B109" s="28">
        <v>600</v>
      </c>
      <c r="C109" s="28">
        <v>600</v>
      </c>
      <c r="D109" s="28">
        <v>19</v>
      </c>
      <c r="E109" s="28">
        <v>19</v>
      </c>
      <c r="F109" s="28">
        <v>66.5</v>
      </c>
      <c r="G109" s="28">
        <v>332.03</v>
      </c>
    </row>
    <row r="110" spans="1:7" x14ac:dyDescent="0.25">
      <c r="A110" s="29" t="s">
        <v>396</v>
      </c>
      <c r="B110" s="30">
        <v>600</v>
      </c>
      <c r="C110" s="30">
        <v>600</v>
      </c>
      <c r="D110" s="30">
        <v>22</v>
      </c>
      <c r="E110" s="30">
        <v>22</v>
      </c>
      <c r="F110" s="30">
        <v>77</v>
      </c>
      <c r="G110" s="30">
        <v>379.71</v>
      </c>
    </row>
    <row r="111" spans="1:7" x14ac:dyDescent="0.25">
      <c r="A111" s="27" t="s">
        <v>397</v>
      </c>
      <c r="B111" s="28">
        <v>600</v>
      </c>
      <c r="C111" s="28">
        <v>600</v>
      </c>
      <c r="D111" s="28">
        <v>25</v>
      </c>
      <c r="E111" s="28">
        <v>25</v>
      </c>
      <c r="F111" s="28">
        <v>87.5</v>
      </c>
      <c r="G111" s="28">
        <v>426.11</v>
      </c>
    </row>
    <row r="112" spans="1:7" x14ac:dyDescent="0.25">
      <c r="A112" s="29" t="s">
        <v>398</v>
      </c>
      <c r="B112" s="30">
        <v>600</v>
      </c>
      <c r="C112" s="30">
        <v>600</v>
      </c>
      <c r="D112" s="30">
        <v>28</v>
      </c>
      <c r="E112" s="30">
        <v>28</v>
      </c>
      <c r="F112" s="30">
        <v>98</v>
      </c>
      <c r="G112" s="30">
        <v>471.2</v>
      </c>
    </row>
    <row r="113" spans="1:7" x14ac:dyDescent="0.25">
      <c r="A113" s="27" t="s">
        <v>399</v>
      </c>
      <c r="B113" s="28">
        <v>600</v>
      </c>
      <c r="C113" s="28">
        <v>600</v>
      </c>
      <c r="D113" s="28">
        <v>32</v>
      </c>
      <c r="E113" s="28">
        <v>32</v>
      </c>
      <c r="F113" s="28">
        <v>112</v>
      </c>
      <c r="G113" s="28">
        <v>529.33</v>
      </c>
    </row>
    <row r="114" spans="1:7" x14ac:dyDescent="0.25">
      <c r="A114" s="29" t="s">
        <v>400</v>
      </c>
      <c r="B114" s="30">
        <v>600</v>
      </c>
      <c r="C114" s="30">
        <v>600</v>
      </c>
      <c r="D114" s="30">
        <v>36</v>
      </c>
      <c r="E114" s="30">
        <v>36</v>
      </c>
      <c r="F114" s="30">
        <v>126</v>
      </c>
      <c r="G114" s="30">
        <v>585.15</v>
      </c>
    </row>
    <row r="115" spans="1:7" x14ac:dyDescent="0.25">
      <c r="A115" s="27" t="s">
        <v>401</v>
      </c>
      <c r="B115" s="28">
        <v>600</v>
      </c>
      <c r="C115" s="28">
        <v>600</v>
      </c>
      <c r="D115" s="28">
        <v>38</v>
      </c>
      <c r="E115" s="28">
        <v>38</v>
      </c>
      <c r="F115" s="28">
        <v>133</v>
      </c>
      <c r="G115" s="28">
        <v>612.2</v>
      </c>
    </row>
    <row r="116" spans="1:7" x14ac:dyDescent="0.25">
      <c r="A116" s="29" t="s">
        <v>402</v>
      </c>
      <c r="B116" s="30">
        <v>600</v>
      </c>
      <c r="C116" s="30">
        <v>600</v>
      </c>
      <c r="D116" s="30">
        <v>40</v>
      </c>
      <c r="E116" s="30">
        <v>40</v>
      </c>
      <c r="F116" s="30">
        <v>140</v>
      </c>
      <c r="G116" s="30">
        <v>638.67</v>
      </c>
    </row>
    <row r="117" spans="1:7" x14ac:dyDescent="0.25">
      <c r="A117" s="27" t="s">
        <v>403</v>
      </c>
      <c r="B117" s="28">
        <v>650</v>
      </c>
      <c r="C117" s="28">
        <v>650</v>
      </c>
      <c r="D117" s="28">
        <v>12</v>
      </c>
      <c r="E117" s="28">
        <v>12</v>
      </c>
      <c r="F117" s="28">
        <v>42</v>
      </c>
      <c r="G117" s="28">
        <v>234.58</v>
      </c>
    </row>
    <row r="118" spans="1:7" x14ac:dyDescent="0.25">
      <c r="A118" s="29" t="s">
        <v>404</v>
      </c>
      <c r="B118" s="30">
        <v>650</v>
      </c>
      <c r="C118" s="30">
        <v>650</v>
      </c>
      <c r="D118" s="30">
        <v>16</v>
      </c>
      <c r="E118" s="30">
        <v>16</v>
      </c>
      <c r="F118" s="30">
        <v>56</v>
      </c>
      <c r="G118" s="30">
        <v>308.17</v>
      </c>
    </row>
    <row r="119" spans="1:7" x14ac:dyDescent="0.25">
      <c r="A119" s="27" t="s">
        <v>405</v>
      </c>
      <c r="B119" s="28">
        <v>650</v>
      </c>
      <c r="C119" s="28">
        <v>650</v>
      </c>
      <c r="D119" s="28">
        <v>19</v>
      </c>
      <c r="E119" s="28">
        <v>19</v>
      </c>
      <c r="F119" s="28">
        <v>66.5</v>
      </c>
      <c r="G119" s="28">
        <v>361.86</v>
      </c>
    </row>
    <row r="120" spans="1:7" x14ac:dyDescent="0.25">
      <c r="A120" s="29" t="s">
        <v>406</v>
      </c>
      <c r="B120" s="30">
        <v>650</v>
      </c>
      <c r="C120" s="30">
        <v>650</v>
      </c>
      <c r="D120" s="30">
        <v>22</v>
      </c>
      <c r="E120" s="30">
        <v>22</v>
      </c>
      <c r="F120" s="30">
        <v>77</v>
      </c>
      <c r="G120" s="30">
        <v>414.25</v>
      </c>
    </row>
    <row r="121" spans="1:7" x14ac:dyDescent="0.25">
      <c r="A121" s="27" t="s">
        <v>407</v>
      </c>
      <c r="B121" s="28">
        <v>650</v>
      </c>
      <c r="C121" s="28">
        <v>650</v>
      </c>
      <c r="D121" s="28">
        <v>25</v>
      </c>
      <c r="E121" s="28">
        <v>25</v>
      </c>
      <c r="F121" s="28">
        <v>87.5</v>
      </c>
      <c r="G121" s="28">
        <v>465.36</v>
      </c>
    </row>
    <row r="122" spans="1:7" x14ac:dyDescent="0.25">
      <c r="A122" s="29" t="s">
        <v>408</v>
      </c>
      <c r="B122" s="30">
        <v>650</v>
      </c>
      <c r="C122" s="30">
        <v>650</v>
      </c>
      <c r="D122" s="30">
        <v>28</v>
      </c>
      <c r="E122" s="30">
        <v>28</v>
      </c>
      <c r="F122" s="30">
        <v>98</v>
      </c>
      <c r="G122" s="30">
        <v>515.16</v>
      </c>
    </row>
    <row r="123" spans="1:7" x14ac:dyDescent="0.25">
      <c r="A123" s="27" t="s">
        <v>409</v>
      </c>
      <c r="B123" s="28">
        <v>650</v>
      </c>
      <c r="C123" s="28">
        <v>650</v>
      </c>
      <c r="D123" s="28">
        <v>32</v>
      </c>
      <c r="E123" s="28">
        <v>32</v>
      </c>
      <c r="F123" s="28">
        <v>112</v>
      </c>
      <c r="G123" s="28">
        <v>579.57</v>
      </c>
    </row>
    <row r="124" spans="1:7" x14ac:dyDescent="0.25">
      <c r="A124" s="29" t="s">
        <v>410</v>
      </c>
      <c r="B124" s="30">
        <v>650</v>
      </c>
      <c r="C124" s="30">
        <v>650</v>
      </c>
      <c r="D124" s="30">
        <v>36</v>
      </c>
      <c r="E124" s="30">
        <v>36</v>
      </c>
      <c r="F124" s="30">
        <v>126</v>
      </c>
      <c r="G124" s="30">
        <v>641.67</v>
      </c>
    </row>
    <row r="125" spans="1:7" x14ac:dyDescent="0.25">
      <c r="A125" s="27" t="s">
        <v>411</v>
      </c>
      <c r="B125" s="28">
        <v>650</v>
      </c>
      <c r="C125" s="28">
        <v>650</v>
      </c>
      <c r="D125" s="28">
        <v>38</v>
      </c>
      <c r="E125" s="28">
        <v>38</v>
      </c>
      <c r="F125" s="28">
        <v>133</v>
      </c>
      <c r="G125" s="28">
        <v>671.86</v>
      </c>
    </row>
    <row r="126" spans="1:7" x14ac:dyDescent="0.25">
      <c r="A126" s="29" t="s">
        <v>412</v>
      </c>
      <c r="B126" s="30">
        <v>650</v>
      </c>
      <c r="C126" s="30">
        <v>650</v>
      </c>
      <c r="D126" s="30">
        <v>40</v>
      </c>
      <c r="E126" s="30">
        <v>40</v>
      </c>
      <c r="F126" s="30">
        <v>140</v>
      </c>
      <c r="G126" s="30">
        <v>701.47</v>
      </c>
    </row>
    <row r="127" spans="1:7" x14ac:dyDescent="0.25">
      <c r="A127" s="27" t="s">
        <v>413</v>
      </c>
      <c r="B127" s="28">
        <v>700</v>
      </c>
      <c r="C127" s="28">
        <v>700</v>
      </c>
      <c r="D127" s="28">
        <v>12</v>
      </c>
      <c r="E127" s="28">
        <v>12</v>
      </c>
      <c r="F127" s="28">
        <v>42</v>
      </c>
      <c r="G127" s="28">
        <v>253.42</v>
      </c>
    </row>
    <row r="128" spans="1:7" x14ac:dyDescent="0.25">
      <c r="A128" s="29" t="s">
        <v>414</v>
      </c>
      <c r="B128" s="30">
        <v>700</v>
      </c>
      <c r="C128" s="30">
        <v>700</v>
      </c>
      <c r="D128" s="30">
        <v>16</v>
      </c>
      <c r="E128" s="30">
        <v>16</v>
      </c>
      <c r="F128" s="30">
        <v>56</v>
      </c>
      <c r="G128" s="30">
        <v>333.29</v>
      </c>
    </row>
    <row r="129" spans="1:7" x14ac:dyDescent="0.25">
      <c r="A129" s="27" t="s">
        <v>415</v>
      </c>
      <c r="B129" s="28">
        <v>700</v>
      </c>
      <c r="C129" s="28">
        <v>700</v>
      </c>
      <c r="D129" s="28">
        <v>19</v>
      </c>
      <c r="E129" s="28">
        <v>19</v>
      </c>
      <c r="F129" s="28">
        <v>66.5</v>
      </c>
      <c r="G129" s="28">
        <v>391.69</v>
      </c>
    </row>
    <row r="130" spans="1:7" x14ac:dyDescent="0.25">
      <c r="A130" s="29" t="s">
        <v>416</v>
      </c>
      <c r="B130" s="30">
        <v>700</v>
      </c>
      <c r="C130" s="30">
        <v>700</v>
      </c>
      <c r="D130" s="30">
        <v>22</v>
      </c>
      <c r="E130" s="30">
        <v>22</v>
      </c>
      <c r="F130" s="30">
        <v>77</v>
      </c>
      <c r="G130" s="30">
        <v>448.79</v>
      </c>
    </row>
    <row r="131" spans="1:7" x14ac:dyDescent="0.25">
      <c r="A131" s="27" t="s">
        <v>417</v>
      </c>
      <c r="B131" s="28">
        <v>700</v>
      </c>
      <c r="C131" s="28">
        <v>700</v>
      </c>
      <c r="D131" s="28">
        <v>25</v>
      </c>
      <c r="E131" s="28">
        <v>25</v>
      </c>
      <c r="F131" s="28">
        <v>87.5</v>
      </c>
      <c r="G131" s="28">
        <v>504.61</v>
      </c>
    </row>
    <row r="132" spans="1:7" x14ac:dyDescent="0.25">
      <c r="A132" s="29" t="s">
        <v>418</v>
      </c>
      <c r="B132" s="30">
        <v>700</v>
      </c>
      <c r="C132" s="30">
        <v>700</v>
      </c>
      <c r="D132" s="30">
        <v>28</v>
      </c>
      <c r="E132" s="30">
        <v>28</v>
      </c>
      <c r="F132" s="30">
        <v>98</v>
      </c>
      <c r="G132" s="30">
        <v>559.12</v>
      </c>
    </row>
    <row r="133" spans="1:7" x14ac:dyDescent="0.25">
      <c r="A133" s="27" t="s">
        <v>419</v>
      </c>
      <c r="B133" s="28">
        <v>700</v>
      </c>
      <c r="C133" s="28">
        <v>700</v>
      </c>
      <c r="D133" s="28">
        <v>32</v>
      </c>
      <c r="E133" s="28">
        <v>32</v>
      </c>
      <c r="F133" s="28">
        <v>112</v>
      </c>
      <c r="G133" s="28">
        <v>629.81</v>
      </c>
    </row>
    <row r="134" spans="1:7" x14ac:dyDescent="0.25">
      <c r="A134" s="29" t="s">
        <v>420</v>
      </c>
      <c r="B134" s="30">
        <v>700</v>
      </c>
      <c r="C134" s="30">
        <v>700</v>
      </c>
      <c r="D134" s="30">
        <v>36</v>
      </c>
      <c r="E134" s="30">
        <v>36</v>
      </c>
      <c r="F134" s="30">
        <v>126</v>
      </c>
      <c r="G134" s="30">
        <v>698.19</v>
      </c>
    </row>
    <row r="135" spans="1:7" x14ac:dyDescent="0.25">
      <c r="A135" s="27" t="s">
        <v>421</v>
      </c>
      <c r="B135" s="28">
        <v>700</v>
      </c>
      <c r="C135" s="28">
        <v>700</v>
      </c>
      <c r="D135" s="28">
        <v>38</v>
      </c>
      <c r="E135" s="28">
        <v>38</v>
      </c>
      <c r="F135" s="28">
        <v>133</v>
      </c>
      <c r="G135" s="28">
        <v>731.52</v>
      </c>
    </row>
    <row r="136" spans="1:7" x14ac:dyDescent="0.25">
      <c r="A136" s="29" t="s">
        <v>422</v>
      </c>
      <c r="B136" s="30">
        <v>700</v>
      </c>
      <c r="C136" s="30">
        <v>700</v>
      </c>
      <c r="D136" s="30">
        <v>40</v>
      </c>
      <c r="E136" s="30">
        <v>40</v>
      </c>
      <c r="F136" s="30">
        <v>140</v>
      </c>
      <c r="G136" s="30">
        <v>764.27</v>
      </c>
    </row>
    <row r="137" spans="1:7" x14ac:dyDescent="0.25">
      <c r="A137" s="27" t="s">
        <v>423</v>
      </c>
      <c r="B137" s="28">
        <v>750</v>
      </c>
      <c r="C137" s="28">
        <v>750</v>
      </c>
      <c r="D137" s="28">
        <v>16</v>
      </c>
      <c r="E137" s="28">
        <v>16</v>
      </c>
      <c r="F137" s="28">
        <v>56</v>
      </c>
      <c r="G137" s="28">
        <v>358.41</v>
      </c>
    </row>
    <row r="138" spans="1:7" x14ac:dyDescent="0.25">
      <c r="A138" s="29" t="s">
        <v>424</v>
      </c>
      <c r="B138" s="30">
        <v>750</v>
      </c>
      <c r="C138" s="30">
        <v>750</v>
      </c>
      <c r="D138" s="30">
        <v>19</v>
      </c>
      <c r="E138" s="30">
        <v>19</v>
      </c>
      <c r="F138" s="30">
        <v>66.5</v>
      </c>
      <c r="G138" s="30">
        <v>421.52</v>
      </c>
    </row>
    <row r="139" spans="1:7" x14ac:dyDescent="0.25">
      <c r="A139" s="27" t="s">
        <v>425</v>
      </c>
      <c r="B139" s="28">
        <v>750</v>
      </c>
      <c r="C139" s="28">
        <v>750</v>
      </c>
      <c r="D139" s="28">
        <v>22</v>
      </c>
      <c r="E139" s="28">
        <v>22</v>
      </c>
      <c r="F139" s="28">
        <v>77</v>
      </c>
      <c r="G139" s="28">
        <v>483.33</v>
      </c>
    </row>
    <row r="140" spans="1:7" x14ac:dyDescent="0.25">
      <c r="A140" s="29" t="s">
        <v>426</v>
      </c>
      <c r="B140" s="30">
        <v>750</v>
      </c>
      <c r="C140" s="30">
        <v>750</v>
      </c>
      <c r="D140" s="30">
        <v>25</v>
      </c>
      <c r="E140" s="30">
        <v>25</v>
      </c>
      <c r="F140" s="30">
        <v>87.5</v>
      </c>
      <c r="G140" s="30">
        <v>543.86</v>
      </c>
    </row>
    <row r="141" spans="1:7" x14ac:dyDescent="0.25">
      <c r="A141" s="27" t="s">
        <v>427</v>
      </c>
      <c r="B141" s="28">
        <v>750</v>
      </c>
      <c r="C141" s="28">
        <v>750</v>
      </c>
      <c r="D141" s="28">
        <v>28</v>
      </c>
      <c r="E141" s="28">
        <v>28</v>
      </c>
      <c r="F141" s="28">
        <v>98</v>
      </c>
      <c r="G141" s="28">
        <v>603.08</v>
      </c>
    </row>
    <row r="142" spans="1:7" x14ac:dyDescent="0.25">
      <c r="A142" s="29" t="s">
        <v>428</v>
      </c>
      <c r="B142" s="30">
        <v>750</v>
      </c>
      <c r="C142" s="30">
        <v>750</v>
      </c>
      <c r="D142" s="30">
        <v>32</v>
      </c>
      <c r="E142" s="30">
        <v>32</v>
      </c>
      <c r="F142" s="30">
        <v>112</v>
      </c>
      <c r="G142" s="30">
        <v>680.05</v>
      </c>
    </row>
    <row r="143" spans="1:7" x14ac:dyDescent="0.25">
      <c r="A143" s="27" t="s">
        <v>429</v>
      </c>
      <c r="B143" s="28">
        <v>750</v>
      </c>
      <c r="C143" s="28">
        <v>750</v>
      </c>
      <c r="D143" s="28">
        <v>36</v>
      </c>
      <c r="E143" s="28">
        <v>36</v>
      </c>
      <c r="F143" s="28">
        <v>126</v>
      </c>
      <c r="G143" s="28">
        <v>754.71</v>
      </c>
    </row>
    <row r="144" spans="1:7" x14ac:dyDescent="0.25">
      <c r="A144" s="29" t="s">
        <v>430</v>
      </c>
      <c r="B144" s="30">
        <v>750</v>
      </c>
      <c r="C144" s="30">
        <v>750</v>
      </c>
      <c r="D144" s="30">
        <v>38</v>
      </c>
      <c r="E144" s="30">
        <v>38</v>
      </c>
      <c r="F144" s="30">
        <v>133</v>
      </c>
      <c r="G144" s="30">
        <v>791.18</v>
      </c>
    </row>
    <row r="145" spans="1:7" x14ac:dyDescent="0.25">
      <c r="A145" s="27" t="s">
        <v>431</v>
      </c>
      <c r="B145" s="28">
        <v>750</v>
      </c>
      <c r="C145" s="28">
        <v>750</v>
      </c>
      <c r="D145" s="28">
        <v>40</v>
      </c>
      <c r="E145" s="28">
        <v>40</v>
      </c>
      <c r="F145" s="28">
        <v>140</v>
      </c>
      <c r="G145" s="28">
        <v>827.07</v>
      </c>
    </row>
    <row r="146" spans="1:7" x14ac:dyDescent="0.25">
      <c r="A146" s="29" t="s">
        <v>432</v>
      </c>
      <c r="B146" s="30">
        <v>800</v>
      </c>
      <c r="C146" s="30">
        <v>800</v>
      </c>
      <c r="D146" s="30">
        <v>16</v>
      </c>
      <c r="E146" s="30">
        <v>16</v>
      </c>
      <c r="F146" s="30">
        <v>56</v>
      </c>
      <c r="G146" s="30">
        <v>383.53</v>
      </c>
    </row>
    <row r="147" spans="1:7" x14ac:dyDescent="0.25">
      <c r="A147" s="27" t="s">
        <v>433</v>
      </c>
      <c r="B147" s="28">
        <v>800</v>
      </c>
      <c r="C147" s="28">
        <v>800</v>
      </c>
      <c r="D147" s="28">
        <v>19</v>
      </c>
      <c r="E147" s="28">
        <v>19</v>
      </c>
      <c r="F147" s="28">
        <v>66.5</v>
      </c>
      <c r="G147" s="28">
        <v>451.35</v>
      </c>
    </row>
    <row r="148" spans="1:7" x14ac:dyDescent="0.25">
      <c r="A148" s="29" t="s">
        <v>434</v>
      </c>
      <c r="B148" s="30">
        <v>800</v>
      </c>
      <c r="C148" s="30">
        <v>800</v>
      </c>
      <c r="D148" s="30">
        <v>22</v>
      </c>
      <c r="E148" s="30">
        <v>22</v>
      </c>
      <c r="F148" s="30">
        <v>77</v>
      </c>
      <c r="G148" s="30">
        <v>517.87</v>
      </c>
    </row>
    <row r="149" spans="1:7" x14ac:dyDescent="0.25">
      <c r="A149" s="27" t="s">
        <v>435</v>
      </c>
      <c r="B149" s="28">
        <v>800</v>
      </c>
      <c r="C149" s="28">
        <v>800</v>
      </c>
      <c r="D149" s="28">
        <v>25</v>
      </c>
      <c r="E149" s="28">
        <v>25</v>
      </c>
      <c r="F149" s="28">
        <v>87.5</v>
      </c>
      <c r="G149" s="28">
        <v>583.11</v>
      </c>
    </row>
    <row r="150" spans="1:7" x14ac:dyDescent="0.25">
      <c r="A150" s="29" t="s">
        <v>436</v>
      </c>
      <c r="B150" s="30">
        <v>800</v>
      </c>
      <c r="C150" s="30">
        <v>800</v>
      </c>
      <c r="D150" s="30">
        <v>28</v>
      </c>
      <c r="E150" s="30">
        <v>28</v>
      </c>
      <c r="F150" s="30">
        <v>98</v>
      </c>
      <c r="G150" s="30">
        <v>647.04</v>
      </c>
    </row>
    <row r="151" spans="1:7" x14ac:dyDescent="0.25">
      <c r="A151" s="27" t="s">
        <v>437</v>
      </c>
      <c r="B151" s="28">
        <v>800</v>
      </c>
      <c r="C151" s="28">
        <v>800</v>
      </c>
      <c r="D151" s="28">
        <v>32</v>
      </c>
      <c r="E151" s="28">
        <v>32</v>
      </c>
      <c r="F151" s="28">
        <v>112</v>
      </c>
      <c r="G151" s="28">
        <v>730.29</v>
      </c>
    </row>
    <row r="152" spans="1:7" x14ac:dyDescent="0.25">
      <c r="A152" s="29" t="s">
        <v>438</v>
      </c>
      <c r="B152" s="30">
        <v>800</v>
      </c>
      <c r="C152" s="30">
        <v>800</v>
      </c>
      <c r="D152" s="30">
        <v>36</v>
      </c>
      <c r="E152" s="30">
        <v>36</v>
      </c>
      <c r="F152" s="30">
        <v>126</v>
      </c>
      <c r="G152" s="30">
        <v>811.23</v>
      </c>
    </row>
    <row r="153" spans="1:7" x14ac:dyDescent="0.25">
      <c r="A153" s="27" t="s">
        <v>439</v>
      </c>
      <c r="B153" s="28">
        <v>800</v>
      </c>
      <c r="C153" s="28">
        <v>800</v>
      </c>
      <c r="D153" s="28">
        <v>38</v>
      </c>
      <c r="E153" s="28">
        <v>38</v>
      </c>
      <c r="F153" s="28">
        <v>133</v>
      </c>
      <c r="G153" s="28">
        <v>850.84</v>
      </c>
    </row>
    <row r="154" spans="1:7" x14ac:dyDescent="0.25">
      <c r="A154" s="29" t="s">
        <v>440</v>
      </c>
      <c r="B154" s="30">
        <v>800</v>
      </c>
      <c r="C154" s="30">
        <v>800</v>
      </c>
      <c r="D154" s="30">
        <v>40</v>
      </c>
      <c r="E154" s="30">
        <v>40</v>
      </c>
      <c r="F154" s="30">
        <v>140</v>
      </c>
      <c r="G154" s="30">
        <v>889.87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PARAM</vt:lpstr>
      <vt:lpstr>input</vt:lpstr>
      <vt:lpstr>SECT</vt:lpstr>
      <vt:lpstr>TUBE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2026-08-24T12:29:39Z</dcterms:created>
  <dcterms:modified xsi:type="dcterms:W3CDTF">2026-08-24T12:29:39Z</dcterms:modified>
</cp:coreProperties>
</file>