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" state="visible" r:id="rId4"/>
    <sheet sheetId="2" name="input" state="visible" r:id="rId5"/>
    <sheet sheetId="3" name="SECT" state="visible" r:id="rId6"/>
  </sheets>
  <calcPr calcId="171027"/>
</workbook>
</file>

<file path=xl/sharedStrings.xml><?xml version="1.0" encoding="utf-8"?>
<sst xmlns="http://schemas.openxmlformats.org/spreadsheetml/2006/main" count="414" uniqueCount="204">
  <si>
    <t>COLUMN NODE</t>
  </si>
  <si>
    <t>One column, four beams, and up to two splices. Fill in the blue cells — the input tab is written from this one.</t>
  </si>
  <si>
    <t xml:space="preserve">  1.  COLUMN</t>
  </si>
  <si>
    <t>an H or a square tube - fill in the row that matches Type, the other is ignored</t>
  </si>
  <si>
    <t>Section</t>
  </si>
  <si>
    <t>h</t>
  </si>
  <si>
    <t>b</t>
  </si>
  <si>
    <t>tw / t</t>
  </si>
  <si>
    <t>tf</t>
  </si>
  <si>
    <t>r</t>
  </si>
  <si>
    <t>kg/m</t>
  </si>
  <si>
    <t>H section</t>
  </si>
  <si>
    <t>H-300x300x10x15 r18</t>
  </si>
  <si>
    <t>Square tube</t>
  </si>
  <si>
    <t>r blank = square corner</t>
  </si>
  <si>
    <t>Type</t>
  </si>
  <si>
    <t>middle</t>
  </si>
  <si>
    <t>upper</t>
  </si>
  <si>
    <t>lower</t>
  </si>
  <si>
    <t>Steel</t>
  </si>
  <si>
    <t>Lengths</t>
  </si>
  <si>
    <t>SS275</t>
  </si>
  <si>
    <t>Upper and lower are the column above and below the splice. Type 0 and that splice is gone — the piece, its two plates and its four bolts.</t>
  </si>
  <si>
    <t>checked for you</t>
  </si>
  <si>
    <t>face X</t>
  </si>
  <si>
    <t>face Y</t>
  </si>
  <si>
    <t>splices</t>
  </si>
  <si>
    <t xml:space="preserve">  2.  BEAMS</t>
  </si>
  <si>
    <t>one section, four faces - each face takes an end plate, a fin plate, or nothing</t>
  </si>
  <si>
    <t>tw</t>
  </si>
  <si>
    <t>Length</t>
  </si>
  <si>
    <t>Beam</t>
  </si>
  <si>
    <t>H-300x150x6.5x9 r13</t>
  </si>
  <si>
    <t>+X  flange face</t>
  </si>
  <si>
    <t>-X  flange face</t>
  </si>
  <si>
    <t>+Y  web face</t>
  </si>
  <si>
    <t>-Y  web face</t>
  </si>
  <si>
    <t>Connection</t>
  </si>
  <si>
    <t>end plate</t>
  </si>
  <si>
    <t>fin plate</t>
  </si>
  <si>
    <t>On an H column the X faces are the flanges and the Y faces are the web, so a Y beam sits between the flanges. A tube has four alike walls.</t>
  </si>
  <si>
    <t>between flanges</t>
  </si>
  <si>
    <t>connectors</t>
  </si>
  <si>
    <t>end plate on a tube</t>
  </si>
  <si>
    <t xml:space="preserve">  3.  CONNECTORS</t>
  </si>
  <si>
    <t>height follows the bolts, so a plate can never be shorter than the chain it carries</t>
  </si>
  <si>
    <t>width / reach</t>
  </si>
  <si>
    <t>height</t>
  </si>
  <si>
    <t>thickness</t>
  </si>
  <si>
    <t>gauge</t>
  </si>
  <si>
    <t>overhang</t>
  </si>
  <si>
    <t>edge</t>
  </si>
  <si>
    <t>End plate</t>
  </si>
  <si>
    <t>Fin plate</t>
  </si>
  <si>
    <t>Splice plate</t>
  </si>
  <si>
    <t>End plate gauge is across the beam web; fin plate gauge is out from the column face. The splice plate is the column plus an overhang all round.</t>
  </si>
  <si>
    <t>ep clears web</t>
  </si>
  <si>
    <t>ep width</t>
  </si>
  <si>
    <t>fin reach</t>
  </si>
  <si>
    <t xml:space="preserve">  4.  BOLTS</t>
  </si>
  <si>
    <t>one size throughout; two lengths, because a splice grips two plates and a connection grips one</t>
  </si>
  <si>
    <t>Grade</t>
  </si>
  <si>
    <t>Dia</t>
  </si>
  <si>
    <t>Hole</t>
  </si>
  <si>
    <t>Pitch</t>
  </si>
  <si>
    <t>Count</t>
  </si>
  <si>
    <t>Bolt</t>
  </si>
  <si>
    <t>F10T</t>
  </si>
  <si>
    <t>grip end plate</t>
  </si>
  <si>
    <t>grip fin</t>
  </si>
  <si>
    <t>grip splice</t>
  </si>
  <si>
    <t>nut</t>
  </si>
  <si>
    <t>LENGTH conn</t>
  </si>
  <si>
    <t>LENGTH splice</t>
  </si>
  <si>
    <t>proj — the thread past the nut — takes up what each grip leaves, so every connection bolt is one take-off line and every splice bolt another.</t>
  </si>
  <si>
    <t>pitch</t>
  </si>
  <si>
    <t>conn bolt</t>
  </si>
  <si>
    <t>splice bolt</t>
  </si>
  <si>
    <t>Written from PARAM. Nothing here needs editing — change the front sheet instead.</t>
  </si>
  <si>
    <t>There is no CUT row in this file. BOLT drills what its shank passes through, plates included, so a hole is never drawn twice.</t>
  </si>
  <si>
    <t>COORD</t>
  </si>
  <si>
    <t>ZUP</t>
  </si>
  <si>
    <t/>
  </si>
  <si>
    <t>SECT  id  material  length  TYPE  base.pt  v1..v7        an H wants seven values, a tube wants four - the last three go blank by formula</t>
  </si>
  <si>
    <t>the column: middle, upper, lower. MAX(1,..) keeps a definition alive even when its piece is switched off above</t>
  </si>
  <si>
    <t>SECT</t>
  </si>
  <si>
    <t>sc.c1</t>
  </si>
  <si>
    <t>mc</t>
  </si>
  <si>
    <t>sc.c2</t>
  </si>
  <si>
    <t>sc.c3</t>
  </si>
  <si>
    <t>the beam, one section for all four arms</t>
  </si>
  <si>
    <t>sc.bm</t>
  </si>
  <si>
    <t>H</t>
  </si>
  <si>
    <t>PLATE  id  material  thickness  RECT  base.pt  B  H</t>
  </si>
  <si>
    <t>end plate - welded to the beam, bolted to the column</t>
  </si>
  <si>
    <t>PLATE</t>
  </si>
  <si>
    <t>pl.ep</t>
  </si>
  <si>
    <t>RECT</t>
  </si>
  <si>
    <t>fin plate - welded to the column, bolted through the beam web</t>
  </si>
  <si>
    <t>pl.fin</t>
  </si>
  <si>
    <t>splice plate - the column plus an overhang all round</t>
  </si>
  <si>
    <t>pl.sp</t>
  </si>
  <si>
    <t>BOLT  id  material  dia  length  hole  [head_af]  [head_h]  [nut_af]  nut_h  proj</t>
  </si>
  <si>
    <t>end plate bolt</t>
  </si>
  <si>
    <t>BOLT</t>
  </si>
  <si>
    <t>bo.ep</t>
  </si>
  <si>
    <t>fin plate bolt - same length, more thread showing</t>
  </si>
  <si>
    <t>bo.fin</t>
  </si>
  <si>
    <t>bo.sp</t>
  </si>
  <si>
    <t>MODULE  id  member  Ref.Pt  L.X  L.Y  L.Z  PLANE  [ROT.X ROT.Y ROT.Z]  [dx dy dz repeat]</t>
  </si>
  <si>
    <t>ROT.Z 90 turns the column so its h runs along X. A square column cannot show that in a bounding box, so it is written down rather than looked for.</t>
  </si>
  <si>
    <t>a blank member is simply not there - which is how a length of 0 removes a piece</t>
  </si>
  <si>
    <t>MODULE</t>
  </si>
  <si>
    <t>md.c1</t>
  </si>
  <si>
    <t>XY</t>
  </si>
  <si>
    <t>BASE</t>
  </si>
  <si>
    <t>md.c2</t>
  </si>
  <si>
    <t>md.c3</t>
  </si>
  <si>
    <t>arm ax  -  the +X face, "end plate" on PARAM. Both details are written out and PARAM keeps one.</t>
  </si>
  <si>
    <t>end plate - welded to the beam end, bearing on the column</t>
  </si>
  <si>
    <t>md.ax</t>
  </si>
  <si>
    <t>YZ</t>
  </si>
  <si>
    <t>fin plate - welded to the column, standing beside the beam web</t>
  </si>
  <si>
    <t>XZ</t>
  </si>
  <si>
    <t>the beam - at the module origin, and the one member always there</t>
  </si>
  <si>
    <t>an end plate bolt runs along the beam, a fin plate bolt across it</t>
  </si>
  <si>
    <t>arm bx  -  the -X face, "fin plate" on PARAM. Both details are written out and PARAM keeps one.</t>
  </si>
  <si>
    <t>md.bx</t>
  </si>
  <si>
    <t>arm ay  -  the +Y face, "fin plate" on PARAM. Both details are written out and PARAM keeps one.</t>
  </si>
  <si>
    <t>md.ay</t>
  </si>
  <si>
    <t>arm by  -  the -Y face, "end plate" on PARAM. Both details are written out and PARAM keeps one.</t>
  </si>
  <si>
    <t>md.by</t>
  </si>
  <si>
    <t>a splice: two plates back to back and four bolts. Both are switched by the length of the column piece they join.</t>
  </si>
  <si>
    <t>two plates back to back, the joint between them</t>
  </si>
  <si>
    <t>md.spu</t>
  </si>
  <si>
    <t>four bolts, one at each corner, clear of the column</t>
  </si>
  <si>
    <t>pl.sp_1</t>
  </si>
  <si>
    <t>md.spd</t>
  </si>
  <si>
    <t>ASSY  id  ref  cmd  p1 p2 p3 p4</t>
  </si>
  <si>
    <t>the middle piece, centred on the beams</t>
  </si>
  <si>
    <t>ASSY</t>
  </si>
  <si>
    <t>as.n</t>
  </si>
  <si>
    <t>ADD</t>
  </si>
  <si>
    <t>the upper piece, clear of its two splice plates</t>
  </si>
  <si>
    <t>the lower piece</t>
  </si>
  <si>
    <t>the splice plates land between the two pieces of column, not over them</t>
  </si>
  <si>
    <t>the beam start: on the column face, or an end plate further out</t>
  </si>
  <si>
    <t>END</t>
  </si>
  <si>
    <t>H-100x100x6x8 r10</t>
  </si>
  <si>
    <t>H-125x125x6.5x9 r10</t>
  </si>
  <si>
    <t>H-150x75x5x7 r8</t>
  </si>
  <si>
    <t>H-148x100x6x9 r11</t>
  </si>
  <si>
    <t>H-150x150x7x10 r11</t>
  </si>
  <si>
    <t>H-198x99x4.5x7 r11</t>
  </si>
  <si>
    <t>H-200x100x5.5x8 r11</t>
  </si>
  <si>
    <t>H-194x150x6x9 r13</t>
  </si>
  <si>
    <t>H-200x200x8x12 r13</t>
  </si>
  <si>
    <t>H-200x204x12x12 r13</t>
  </si>
  <si>
    <t>H-248x124x5x8 r12</t>
  </si>
  <si>
    <t>H-250x125x6x9 r12</t>
  </si>
  <si>
    <t>H-244x175x7x11 r16</t>
  </si>
  <si>
    <t>H-250x250x9x14 r16</t>
  </si>
  <si>
    <t>H-250x255x14x14 r16</t>
  </si>
  <si>
    <t>H-298x149x5.5x8 r13</t>
  </si>
  <si>
    <t>H-294x200x8x12 r18</t>
  </si>
  <si>
    <t>H-294x302x12x12 r18</t>
  </si>
  <si>
    <t>H-300x305x15x15 r18</t>
  </si>
  <si>
    <t>H-346x174x6x9 r14</t>
  </si>
  <si>
    <t>H-350x175x7x11 r14</t>
  </si>
  <si>
    <t>H-340x250x9x14 r20</t>
  </si>
  <si>
    <t>H-344x348x10x16 r20</t>
  </si>
  <si>
    <t>H-350x350x12x19 r20</t>
  </si>
  <si>
    <t>H-396x199x7x11 r16</t>
  </si>
  <si>
    <t>H-400x200x8x13 r16</t>
  </si>
  <si>
    <t>H-390x300x10x16 r22</t>
  </si>
  <si>
    <t>H-388x402x15x15 r22</t>
  </si>
  <si>
    <t>H-394x398x11x18 r22</t>
  </si>
  <si>
    <t>H-400x400x13x21 r22</t>
  </si>
  <si>
    <t>H-400x408x21x21 r22</t>
  </si>
  <si>
    <t>H-414x405x18x28 r22</t>
  </si>
  <si>
    <t>H-428x407x20x35 r22</t>
  </si>
  <si>
    <t>H-458x417x30x50 r22</t>
  </si>
  <si>
    <t>H-498x432x45x70 r22</t>
  </si>
  <si>
    <t>H-446x199x8x12 r18</t>
  </si>
  <si>
    <t>H-450x200x9x14 r18</t>
  </si>
  <si>
    <t>H-440x300x11x18 r24</t>
  </si>
  <si>
    <t>H-440x300x11x18 r13</t>
  </si>
  <si>
    <t>H-496x199x9x14 r13</t>
  </si>
  <si>
    <t>H-500x200x10x16 r13</t>
  </si>
  <si>
    <t>H-482x300x11x15 r13</t>
  </si>
  <si>
    <t>H-488x300x11x18 r13</t>
  </si>
  <si>
    <t>H-596x199x10x15 r13</t>
  </si>
  <si>
    <t>H-600x200x11x17 r13</t>
  </si>
  <si>
    <t>H-582x300x12x17 r13</t>
  </si>
  <si>
    <t>H-588x300x12x20 r13</t>
  </si>
  <si>
    <t>H-594x302x14x23 r13</t>
  </si>
  <si>
    <t>H-692x300x13x20 r18</t>
  </si>
  <si>
    <t>H-700x300x13x24 r18</t>
  </si>
  <si>
    <t>H-792x300x14x22 r18</t>
  </si>
  <si>
    <t>H-800x300x14x26 r18</t>
  </si>
  <si>
    <t>H-890x299x15x23 r18</t>
  </si>
  <si>
    <t>H-900x300x16x28 r18</t>
  </si>
  <si>
    <t>H-912x302x18x34 r18</t>
  </si>
  <si>
    <t>H-918x303x19x37 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</si>
</sst>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0.0"/>
  </numFmts>
  <fonts count="14" x14ac:knownFonts="1">
    <font>
      <color theme="1"/>
      <family val="2"/>
      <scheme val="minor"/>
      <sz val="11"/>
      <name val="Calibri"/>
    </font>
    <font>
      <b/>
      <color rgb="FF0F172A"/>
      <sz val="18"/>
      <name val="Arial"/>
    </font>
    <font>
      <color rgb="FF64748B"/>
      <sz val="10"/>
      <name val="Arial"/>
    </font>
    <font>
      <b/>
      <color rgb="FFFFFFFF"/>
      <sz val="12"/>
      <name val="Arial"/>
    </font>
    <font>
      <color rgb="FFFFFFFF"/>
      <sz val="9"/>
      <name val="Arial"/>
    </font>
    <font>
      <b/>
      <color rgb="FF64748B"/>
      <sz val="9"/>
      <name val="Arial"/>
    </font>
    <font>
      <b/>
      <color rgb="FF0F172A"/>
      <sz val="10"/>
      <name val="Arial"/>
    </font>
    <font>
      <b/>
      <color rgb="FF1D4ED8"/>
      <sz val="10"/>
      <name val="Arial"/>
    </font>
    <font>
      <i/>
      <color rgb="FF64748B"/>
      <sz val="9"/>
      <name val="Arial"/>
    </font>
    <font>
      <b/>
      <color rgb="FFB45309"/>
      <sz val="9"/>
      <name val="Arial"/>
    </font>
    <font>
      <color rgb="FF64748B"/>
      <sz val="9"/>
      <name val="Arial"/>
    </font>
    <font>
      <color rgb="FF0F172A"/>
      <sz val="10"/>
      <name val="Arial"/>
    </font>
    <font>
      <b/>
      <color rgb="FFFFFFFF"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3" width="24" customWidth="1"/>
    <col min="4" max="11" width="11" customWidth="1"/>
    <col min="12" max="12" width="3" customWidth="1"/>
  </cols>
  <sheetData>
    <row r="1" ht="26" customHeight="1" spans="2:2" x14ac:dyDescent="0.25">
      <c r="B1" s="1" t="s">
        <v>0</v>
      </c>
    </row>
    <row r="2" spans="2:2" x14ac:dyDescent="0.25">
      <c r="B2" s="2" t="s">
        <v>1</v>
      </c>
    </row>
    <row r="4" ht="20" customHeight="1" spans="2:11" x14ac:dyDescent="0.25">
      <c r="B4" s="3" t="s">
        <v>2</v>
      </c>
      <c r="C4" s="4" t="s">
        <v>3</v>
      </c>
      <c r="D4" s="4"/>
      <c r="E4" s="4"/>
      <c r="F4" s="4"/>
      <c r="G4" s="4"/>
      <c r="H4" s="4"/>
      <c r="I4" s="4"/>
      <c r="J4" s="4"/>
      <c r="K4" s="4"/>
    </row>
    <row r="5" spans="3:9" x14ac:dyDescent="0.25"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2:9" x14ac:dyDescent="0.25">
      <c r="B6" s="6" t="s">
        <v>11</v>
      </c>
      <c r="C6" s="7" t="s">
        <v>12</v>
      </c>
      <c r="D6" s="8">
        <f>IFERROR(VLOOKUP($C$6,SECT!$A:$G,2,FALSE),"")</f>
        <v>300</v>
      </c>
      <c r="E6" s="8">
        <f>IFERROR(VLOOKUP($C$6,SECT!$A:$G,3,FALSE),"")</f>
        <v>300</v>
      </c>
      <c r="F6" s="8">
        <f>IFERROR(VLOOKUP($C$6,SECT!$A:$G,4,FALSE),"")</f>
        <v>10</v>
      </c>
      <c r="G6" s="8">
        <f>IFERROR(VLOOKUP($C$6,SECT!$A:$G,5,FALSE),"")</f>
        <v>15</v>
      </c>
      <c r="H6" s="8">
        <f>IFERROR(VLOOKUP($C$6,SECT!$A:$G,6,FALSE),"")</f>
        <v>18</v>
      </c>
      <c r="I6" s="9">
        <f>IFERROR(VLOOKUP($C$6,SECT!$A:$G,7,FALSE),"")</f>
        <v>94</v>
      </c>
    </row>
    <row r="7" spans="2:8" x14ac:dyDescent="0.25">
      <c r="B7" s="6" t="s">
        <v>13</v>
      </c>
      <c r="D7" s="7">
        <v>300</v>
      </c>
      <c r="E7" s="7">
        <v>300</v>
      </c>
      <c r="F7" s="7">
        <v>12</v>
      </c>
      <c r="G7" s="7">
        <v>24</v>
      </c>
      <c r="H7" s="10" t="s">
        <v>14</v>
      </c>
    </row>
    <row r="8" spans="2:7" x14ac:dyDescent="0.25">
      <c r="B8" s="6" t="s">
        <v>15</v>
      </c>
      <c r="C8" s="11" t="s">
        <v>16</v>
      </c>
      <c r="D8" s="5" t="s">
        <v>17</v>
      </c>
      <c r="E8" s="5" t="s">
        <v>18</v>
      </c>
      <c r="G8" s="5" t="s">
        <v>19</v>
      </c>
    </row>
    <row r="9" spans="2:7" x14ac:dyDescent="0.25">
      <c r="B9" s="6" t="s">
        <v>20</v>
      </c>
      <c r="C9" s="7">
        <v>1400</v>
      </c>
      <c r="D9" s="7">
        <v>700</v>
      </c>
      <c r="E9" s="7">
        <v>700</v>
      </c>
      <c r="G9" s="7" t="s">
        <v>21</v>
      </c>
    </row>
    <row r="10" spans="2:11" x14ac:dyDescent="0.25">
      <c r="B10" s="10" t="s">
        <v>22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2:8" x14ac:dyDescent="0.25">
      <c r="B11" s="12" t="s">
        <v>23</v>
      </c>
      <c r="C11" s="13" t="s">
        <v>24</v>
      </c>
      <c r="D11" s="12">
        <f>IF(PARAM!$C$8="H",PARAM!$D$6/2,PARAM!$D$7/2)</f>
        <v>150</v>
      </c>
      <c r="E11" s="13" t="s">
        <v>25</v>
      </c>
      <c r="F11" s="12">
        <f>IF(PARAM!$C$8="H",PARAM!$F$6/2,PARAM!$E$7/2)</f>
        <v>5</v>
      </c>
      <c r="G11" s="13" t="s">
        <v>26</v>
      </c>
      <c r="H11" s="12" t="str">
        <f>(IF(PARAM!$D$9&gt;0,1,0)+IF(PARAM!$E$9&gt;0,1,0))&amp;" of 2"</f>
        <v>2 of 2</v>
      </c>
    </row>
    <row r="13" ht="20" customHeight="1" spans="2:11" x14ac:dyDescent="0.25">
      <c r="B13" s="3" t="s">
        <v>27</v>
      </c>
      <c r="C13" s="4" t="s">
        <v>28</v>
      </c>
      <c r="D13" s="4"/>
      <c r="E13" s="4"/>
      <c r="F13" s="4"/>
      <c r="G13" s="4"/>
      <c r="H13" s="4"/>
      <c r="I13" s="4"/>
      <c r="J13" s="4"/>
      <c r="K13" s="4"/>
    </row>
    <row r="14" spans="3:10" x14ac:dyDescent="0.25">
      <c r="C14" s="5" t="s">
        <v>4</v>
      </c>
      <c r="D14" s="5" t="s">
        <v>5</v>
      </c>
      <c r="E14" s="5" t="s">
        <v>6</v>
      </c>
      <c r="F14" s="5" t="s">
        <v>29</v>
      </c>
      <c r="G14" s="5" t="s">
        <v>8</v>
      </c>
      <c r="H14" s="5" t="s">
        <v>9</v>
      </c>
      <c r="I14" s="5" t="s">
        <v>10</v>
      </c>
      <c r="J14" s="5" t="s">
        <v>30</v>
      </c>
    </row>
    <row r="15" spans="2:10" x14ac:dyDescent="0.25">
      <c r="B15" s="6" t="s">
        <v>31</v>
      </c>
      <c r="C15" s="7" t="s">
        <v>32</v>
      </c>
      <c r="D15" s="8">
        <f>IFERROR(VLOOKUP($C$15,SECT!$A:$G,2,FALSE),"")</f>
        <v>300</v>
      </c>
      <c r="E15" s="8">
        <f>IFERROR(VLOOKUP($C$15,SECT!$A:$G,3,FALSE),"")</f>
        <v>150</v>
      </c>
      <c r="F15" s="8">
        <f>IFERROR(VLOOKUP($C$15,SECT!$A:$G,4,FALSE),"")</f>
        <v>6.5</v>
      </c>
      <c r="G15" s="8">
        <f>IFERROR(VLOOKUP($C$15,SECT!$A:$G,5,FALSE),"")</f>
        <v>9</v>
      </c>
      <c r="H15" s="8">
        <f>IFERROR(VLOOKUP($C$15,SECT!$A:$G,6,FALSE),"")</f>
        <v>13</v>
      </c>
      <c r="I15" s="9">
        <f>IFERROR(VLOOKUP($C$15,SECT!$A:$G,7,FALSE),"")</f>
        <v>36.7</v>
      </c>
      <c r="J15" s="7">
        <v>900</v>
      </c>
    </row>
    <row r="16" spans="3:9" x14ac:dyDescent="0.25">
      <c r="C16" s="5" t="s">
        <v>33</v>
      </c>
      <c r="E16" s="5" t="s">
        <v>34</v>
      </c>
      <c r="G16" s="5" t="s">
        <v>35</v>
      </c>
      <c r="I16" s="5" t="s">
        <v>36</v>
      </c>
    </row>
    <row r="17" spans="2:10" x14ac:dyDescent="0.25">
      <c r="B17" s="6" t="s">
        <v>37</v>
      </c>
      <c r="C17" s="7" t="s">
        <v>38</v>
      </c>
      <c r="D17" s="7"/>
      <c r="E17" s="7" t="s">
        <v>39</v>
      </c>
      <c r="F17" s="7"/>
      <c r="G17" s="7" t="s">
        <v>39</v>
      </c>
      <c r="H17" s="7"/>
      <c r="I17" s="7" t="s">
        <v>38</v>
      </c>
      <c r="J17" s="7"/>
    </row>
    <row r="18" spans="2:11" x14ac:dyDescent="0.25">
      <c r="B18" s="10" t="s">
        <v>40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2:8" x14ac:dyDescent="0.25">
      <c r="B19" s="12" t="s">
        <v>23</v>
      </c>
      <c r="C19" s="13" t="s">
        <v>41</v>
      </c>
      <c r="D19" s="12" t="str">
        <f>IF(PARAM!$C$8&lt;&gt;"H","n/a - tube",IF(PARAM!$E$15&lt;=PARAM!$D$6-2*PARAM!$G$6,PARAM!$E$15&amp;" ≤ "&amp;(PARAM!$D$6-2*PARAM!$G$6),"beam too wide"))</f>
        <v>150 ≤ 270</v>
      </c>
      <c r="E19" s="13" t="s">
        <v>42</v>
      </c>
      <c r="F19" s="12" t="str">
        <f>COUNTIF(PARAM!$C$17&amp;PARAM!$E$17&amp;PARAM!$G$17&amp;PARAM!$I$17,"*")&amp;" faces set"</f>
        <v>4 faces set</v>
      </c>
      <c r="G19" s="13" t="s">
        <v>43</v>
      </c>
      <c r="H19" s="12" t="str">
        <f>IF(AND(PARAM!$C$8="R",OR(PARAM!$C$17="end plate",PARAM!$E$17="end plate",PARAM!$G$17="end plate",PARAM!$I$17="end plate")),"needs blind bolts","-")</f>
        <v>-</v>
      </c>
    </row>
    <row r="21" ht="20" customHeight="1" spans="2:11" x14ac:dyDescent="0.25">
      <c r="B21" s="3" t="s">
        <v>44</v>
      </c>
      <c r="C21" s="4" t="s">
        <v>45</v>
      </c>
      <c r="D21" s="4"/>
      <c r="E21" s="4"/>
      <c r="F21" s="4"/>
      <c r="G21" s="4"/>
      <c r="H21" s="4"/>
      <c r="I21" s="4"/>
      <c r="J21" s="4"/>
      <c r="K21" s="4"/>
    </row>
    <row r="22" spans="3:8" x14ac:dyDescent="0.25">
      <c r="C22" s="5" t="s">
        <v>46</v>
      </c>
      <c r="D22" s="5" t="s">
        <v>47</v>
      </c>
      <c r="E22" s="5" t="s">
        <v>48</v>
      </c>
      <c r="F22" s="5" t="s">
        <v>49</v>
      </c>
      <c r="G22" s="5" t="s">
        <v>50</v>
      </c>
      <c r="H22" s="5" t="s">
        <v>51</v>
      </c>
    </row>
    <row r="23" spans="2:8" x14ac:dyDescent="0.25">
      <c r="B23" s="6" t="s">
        <v>52</v>
      </c>
      <c r="C23" s="7">
        <v>180</v>
      </c>
      <c r="D23" s="8">
        <f>PARAM!$F$31*(PARAM!$G$31-1)+2*PARAM!$G$23</f>
        <v>230</v>
      </c>
      <c r="E23" s="7">
        <v>12</v>
      </c>
      <c r="F23" s="7">
        <v>90</v>
      </c>
      <c r="H23" s="7">
        <v>45</v>
      </c>
    </row>
    <row r="24" spans="2:6" x14ac:dyDescent="0.25">
      <c r="B24" s="6" t="s">
        <v>53</v>
      </c>
      <c r="C24" s="7">
        <v>140</v>
      </c>
      <c r="D24" s="8">
        <f>PARAM!$F$31*(PARAM!$G$31-1)+2*PARAM!$G$23</f>
        <v>230</v>
      </c>
      <c r="E24" s="7">
        <v>10</v>
      </c>
      <c r="F24" s="7">
        <v>60</v>
      </c>
    </row>
    <row r="25" spans="2:6" x14ac:dyDescent="0.25">
      <c r="B25" s="6" t="s">
        <v>54</v>
      </c>
      <c r="C25" s="8">
        <f>IF(PARAM!$C$8="H",PARAM!$D$6,PARAM!$D$7)+2*PARAM!$F$25</f>
        <v>420</v>
      </c>
      <c r="D25" s="8">
        <f>IF(PARAM!$C$8="H",PARAM!$E$6,PARAM!$E$7)+2*PARAM!$F$25</f>
        <v>420</v>
      </c>
      <c r="E25" s="7">
        <v>20</v>
      </c>
      <c r="F25" s="7">
        <v>60</v>
      </c>
    </row>
    <row r="26" spans="2:11" x14ac:dyDescent="0.25">
      <c r="B26" s="10" t="s">
        <v>55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2:10" x14ac:dyDescent="0.25">
      <c r="B27" s="12" t="s">
        <v>23</v>
      </c>
      <c r="C27" s="13" t="s">
        <v>56</v>
      </c>
      <c r="D27" s="12" t="str">
        <f>IF(PARAM!$F$23/2&gt;=PARAM!$F$15/2+1.5*PARAM!$D$31,"ok","gauge too tight")</f>
        <v>ok</v>
      </c>
      <c r="E27" s="13" t="s">
        <v>57</v>
      </c>
      <c r="F27" s="12" t="str">
        <f>IF(PARAM!$C$23&gt;=PARAM!$F$23+3*PARAM!$D$31,PARAM!$C$23&amp;" ≥ "&amp;(PARAM!$F$23+3*PARAM!$D$31),"too narrow")</f>
        <v>180 ≥ 138</v>
      </c>
      <c r="G27" s="13" t="s">
        <v>58</v>
      </c>
      <c r="H27" s="12" t="str">
        <f>IF(PARAM!$C$24&gt;=PARAM!$F$24+1.5*PARAM!$D$31,PARAM!$C$24&amp;" ≥ "&amp;(PARAM!$F$24+1.5*PARAM!$D$31),"too short")</f>
        <v>140 ≥ 84</v>
      </c>
      <c r="I27" s="13" t="s">
        <v>51</v>
      </c>
      <c r="J27" s="12" t="str">
        <f>IF(PARAM!$G$23&gt;=1.5*PARAM!$D$31,PARAM!$G$23&amp;" ≥ "&amp;(1.5*PARAM!$D$31),"under 1.5d")</f>
        <v>45 ≥ 24</v>
      </c>
    </row>
    <row r="29" ht="20" customHeight="1" spans="2:11" x14ac:dyDescent="0.25">
      <c r="B29" s="3" t="s">
        <v>59</v>
      </c>
      <c r="C29" s="4" t="s">
        <v>60</v>
      </c>
      <c r="D29" s="4"/>
      <c r="E29" s="4"/>
      <c r="F29" s="4"/>
      <c r="G29" s="4"/>
      <c r="H29" s="4"/>
      <c r="I29" s="4"/>
      <c r="J29" s="4"/>
      <c r="K29" s="4"/>
    </row>
    <row r="30" spans="3:7" x14ac:dyDescent="0.25">
      <c r="C30" s="5" t="s">
        <v>61</v>
      </c>
      <c r="D30" s="5" t="s">
        <v>62</v>
      </c>
      <c r="E30" s="5" t="s">
        <v>63</v>
      </c>
      <c r="F30" s="5" t="s">
        <v>64</v>
      </c>
      <c r="G30" s="5" t="s">
        <v>65</v>
      </c>
    </row>
    <row r="31" spans="2:7" x14ac:dyDescent="0.25">
      <c r="B31" s="6" t="s">
        <v>66</v>
      </c>
      <c r="C31" s="7" t="s">
        <v>67</v>
      </c>
      <c r="D31" s="7">
        <v>16</v>
      </c>
      <c r="E31" s="8">
        <f>PARAM!$D$31+2</f>
        <v>18</v>
      </c>
      <c r="F31" s="7">
        <v>70</v>
      </c>
      <c r="G31" s="7">
        <v>3</v>
      </c>
    </row>
    <row r="32" spans="3:8" x14ac:dyDescent="0.25">
      <c r="C32" s="5" t="s">
        <v>68</v>
      </c>
      <c r="D32" s="5" t="s">
        <v>69</v>
      </c>
      <c r="E32" s="5" t="s">
        <v>70</v>
      </c>
      <c r="F32" s="5" t="s">
        <v>71</v>
      </c>
      <c r="G32" s="5" t="s">
        <v>72</v>
      </c>
      <c r="H32" s="5" t="s">
        <v>73</v>
      </c>
    </row>
    <row r="33" spans="2:8" x14ac:dyDescent="0.25">
      <c r="B33" s="6" t="s">
        <v>20</v>
      </c>
      <c r="C33" s="8">
        <f>IF(PARAM!$C$8="H",PARAM!$G$6,PARAM!$F$7)+PARAM!$E$23</f>
        <v>27</v>
      </c>
      <c r="D33" s="8">
        <f>PARAM!$E$24+PARAM!$F$15</f>
        <v>16.5</v>
      </c>
      <c r="E33" s="8">
        <f>2*PARAM!$E$25</f>
        <v>40</v>
      </c>
      <c r="F33" s="8">
        <f>0.9*PARAM!$D$31</f>
        <v>14.4</v>
      </c>
      <c r="G33" s="14">
        <f>CEILING(MAX(PARAM!$C$33,PARAM!$D$33,IF(PARAM!$C$8="H",PARAM!$F$6,PARAM!$F$7)+PARAM!$E$23)+PARAM!$F$33+0.2*PARAM!$D$31,5)</f>
        <v>45</v>
      </c>
      <c r="H33" s="14">
        <f>CEILING(PARAM!$E$33+PARAM!$F$33+0.2*PARAM!$D$31,5)</f>
        <v>60</v>
      </c>
    </row>
    <row r="34" spans="2:11" x14ac:dyDescent="0.25">
      <c r="B34" s="10" t="s">
        <v>74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2:8" x14ac:dyDescent="0.25">
      <c r="B35" s="12" t="s">
        <v>23</v>
      </c>
      <c r="C35" s="13" t="s">
        <v>75</v>
      </c>
      <c r="D35" s="12" t="str">
        <f>IF(PARAM!$F$31&gt;=2.5*PARAM!$D$31,PARAM!$F$31&amp;" ≥ "&amp;(2.5*PARAM!$D$31),"under 2.5d")</f>
        <v>70 ≥ 40</v>
      </c>
      <c r="E35" s="13" t="s">
        <v>76</v>
      </c>
      <c r="F35" s="12" t="str">
        <f>PARAM!$G$33&amp;" for "&amp;ROUND(MAX(PARAM!$C$33,PARAM!$D$33),1)</f>
        <v>45 for 27</v>
      </c>
      <c r="G35" s="13" t="s">
        <v>77</v>
      </c>
      <c r="H35" s="12" t="str">
        <f>PARAM!$H$33&amp;" for "&amp;PARAM!$E$33</f>
        <v>60 for 40</v>
      </c>
    </row>
  </sheetData>
  <mergeCells count="12">
    <mergeCell ref="C4:K4"/>
    <mergeCell ref="B10:K10"/>
    <mergeCell ref="C13:K13"/>
    <mergeCell ref="C17:D17"/>
    <mergeCell ref="E17:F17"/>
    <mergeCell ref="G17:H17"/>
    <mergeCell ref="I17:J17"/>
    <mergeCell ref="B18:K18"/>
    <mergeCell ref="C21:K21"/>
    <mergeCell ref="B26:K26"/>
    <mergeCell ref="C29:K29"/>
    <mergeCell ref="B34:K34"/>
  </mergeCells>
  <dataValidations count="7">
    <dataValidation type="list" showErrorMessage="1" error="Pick one from the SECT tab." sqref="C15">
      <formula1>SECT!$A$2:$A$59</formula1>
    </dataValidation>
    <dataValidation type="list" showErrorMessage="1" error="end plate, fin plate or none." sqref="C17">
      <formula1>"end plate,fin plate,none"</formula1>
    </dataValidation>
    <dataValidation type="list" showErrorMessage="1" error="Pick one from the SECT tab." sqref="C6">
      <formula1>SECT!$A$2:$A$59</formula1>
    </dataValidation>
    <dataValidation type="list" showErrorMessage="1" error="H or R." sqref="C8">
      <formula1>"H,R"</formula1>
    </dataValidation>
    <dataValidation type="list" showErrorMessage="1" error="end plate, fin plate or none." sqref="E17">
      <formula1>"end plate,fin plate,none"</formula1>
    </dataValidation>
    <dataValidation type="list" showErrorMessage="1" error="end plate, fin plate or none." sqref="G17">
      <formula1>"end plate,fin plate,none"</formula1>
    </dataValidation>
    <dataValidation type="list" showErrorMessage="1" error="end plate, fin plate or none." sqref="I17">
      <formula1>"end plate,fin plate,none"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1" customWidth="1"/>
    <col min="3" max="3" width="12" customWidth="1"/>
    <col min="4" max="4" width="11" customWidth="1"/>
    <col min="5" max="5" width="10" customWidth="1"/>
  </cols>
  <sheetData>
    <row r="1" spans="1:1" x14ac:dyDescent="0.25">
      <c r="A1" s="10" t="s">
        <v>78</v>
      </c>
    </row>
    <row r="2" spans="1:1" x14ac:dyDescent="0.25">
      <c r="A2" s="10" t="s">
        <v>79</v>
      </c>
    </row>
    <row r="3" spans="2:3" x14ac:dyDescent="0.25">
      <c r="B3" s="15" t="s">
        <v>80</v>
      </c>
      <c r="C3" s="16" t="s">
        <v>81</v>
      </c>
    </row>
    <row r="4" spans="1:1" x14ac:dyDescent="0.25">
      <c r="A4" s="10" t="s">
        <v>82</v>
      </c>
    </row>
    <row r="5" spans="1:1" x14ac:dyDescent="0.25">
      <c r="A5" s="10" t="s">
        <v>83</v>
      </c>
    </row>
    <row r="6" spans="1:14" x14ac:dyDescent="0.25">
      <c r="A6" s="10" t="s">
        <v>84</v>
      </c>
      <c r="B6" s="15" t="s">
        <v>85</v>
      </c>
      <c r="C6" s="16" t="s">
        <v>86</v>
      </c>
      <c r="D6" s="16" t="str">
        <f>PARAM!$G$9</f>
        <v>SS275</v>
      </c>
      <c r="E6" s="16">
        <f>PARAM!$C$9</f>
        <v>1400</v>
      </c>
      <c r="F6" s="16" t="str">
        <f>IF(PARAM!$C$8="H","H","R")</f>
        <v>H</v>
      </c>
      <c r="G6" s="16" t="s">
        <v>87</v>
      </c>
      <c r="H6" s="16">
        <f>IF(PARAM!$C$8="H",PARAM!$D$6,PARAM!$D$7)</f>
        <v>300</v>
      </c>
      <c r="I6" s="16">
        <f>IF(PARAM!$C$8="H",PARAM!$E$6,PARAM!$E$7)</f>
        <v>300</v>
      </c>
      <c r="J6" s="16">
        <f>IF(PARAM!$C$8="H",PARAM!$E$6,PARAM!$F$7)</f>
        <v>300</v>
      </c>
      <c r="K6" s="16">
        <f>IF(PARAM!$C$8="H",PARAM!$F$6,PARAM!$G$7)</f>
        <v>10</v>
      </c>
      <c r="L6" s="16">
        <f>IF(PARAM!$C$8="H",PARAM!$G$6,"")</f>
        <v>15</v>
      </c>
      <c r="M6" s="16">
        <f>IF(PARAM!$C$8="H",PARAM!$G$6,"")</f>
        <v>15</v>
      </c>
      <c r="N6" s="16">
        <f>IF(PARAM!$C$8="H",PARAM!$H$6,"")</f>
        <v>18</v>
      </c>
    </row>
    <row r="7" spans="2:14" x14ac:dyDescent="0.25">
      <c r="B7" s="15" t="s">
        <v>85</v>
      </c>
      <c r="C7" s="16" t="s">
        <v>88</v>
      </c>
      <c r="D7" s="16" t="str">
        <f>PARAM!$G$9</f>
        <v>SS275</v>
      </c>
      <c r="E7" s="16">
        <f>MAX(1,PARAM!$D$9)</f>
        <v>700</v>
      </c>
      <c r="F7" s="16" t="str">
        <f>IF(PARAM!$C$8="H","H","R")</f>
        <v>H</v>
      </c>
      <c r="G7" s="16" t="s">
        <v>87</v>
      </c>
      <c r="H7" s="16">
        <f>IF(PARAM!$C$8="H",PARAM!$D$6,PARAM!$D$7)</f>
        <v>300</v>
      </c>
      <c r="I7" s="16">
        <f>IF(PARAM!$C$8="H",PARAM!$E$6,PARAM!$E$7)</f>
        <v>300</v>
      </c>
      <c r="J7" s="16">
        <f>IF(PARAM!$C$8="H",PARAM!$E$6,PARAM!$F$7)</f>
        <v>300</v>
      </c>
      <c r="K7" s="16">
        <f>IF(PARAM!$C$8="H",PARAM!$F$6,PARAM!$G$7)</f>
        <v>10</v>
      </c>
      <c r="L7" s="16">
        <f>IF(PARAM!$C$8="H",PARAM!$G$6,"")</f>
        <v>15</v>
      </c>
      <c r="M7" s="16">
        <f>IF(PARAM!$C$8="H",PARAM!$G$6,"")</f>
        <v>15</v>
      </c>
      <c r="N7" s="16">
        <f>IF(PARAM!$C$8="H",PARAM!$H$6,"")</f>
        <v>18</v>
      </c>
    </row>
    <row r="8" spans="2:14" x14ac:dyDescent="0.25">
      <c r="B8" s="15" t="s">
        <v>85</v>
      </c>
      <c r="C8" s="16" t="s">
        <v>89</v>
      </c>
      <c r="D8" s="16" t="str">
        <f>PARAM!$G$9</f>
        <v>SS275</v>
      </c>
      <c r="E8" s="16">
        <f>MAX(1,PARAM!$E$9)</f>
        <v>700</v>
      </c>
      <c r="F8" s="16" t="str">
        <f>IF(PARAM!$C$8="H","H","R")</f>
        <v>H</v>
      </c>
      <c r="G8" s="16" t="s">
        <v>87</v>
      </c>
      <c r="H8" s="16">
        <f>IF(PARAM!$C$8="H",PARAM!$D$6,PARAM!$D$7)</f>
        <v>300</v>
      </c>
      <c r="I8" s="16">
        <f>IF(PARAM!$C$8="H",PARAM!$E$6,PARAM!$E$7)</f>
        <v>300</v>
      </c>
      <c r="J8" s="16">
        <f>IF(PARAM!$C$8="H",PARAM!$E$6,PARAM!$F$7)</f>
        <v>300</v>
      </c>
      <c r="K8" s="16">
        <f>IF(PARAM!$C$8="H",PARAM!$F$6,PARAM!$G$7)</f>
        <v>10</v>
      </c>
      <c r="L8" s="16">
        <f>IF(PARAM!$C$8="H",PARAM!$G$6,"")</f>
        <v>15</v>
      </c>
      <c r="M8" s="16">
        <f>IF(PARAM!$C$8="H",PARAM!$G$6,"")</f>
        <v>15</v>
      </c>
      <c r="N8" s="16">
        <f>IF(PARAM!$C$8="H",PARAM!$H$6,"")</f>
        <v>18</v>
      </c>
    </row>
    <row r="9" spans="1:14" x14ac:dyDescent="0.25">
      <c r="A9" s="10" t="s">
        <v>90</v>
      </c>
      <c r="B9" s="15" t="s">
        <v>85</v>
      </c>
      <c r="C9" s="16" t="s">
        <v>91</v>
      </c>
      <c r="D9" s="16" t="str">
        <f>PARAM!$G$9</f>
        <v>SS275</v>
      </c>
      <c r="E9" s="16">
        <f>PARAM!$J$15</f>
        <v>900</v>
      </c>
      <c r="F9" s="16" t="s">
        <v>92</v>
      </c>
      <c r="G9" s="16" t="s">
        <v>87</v>
      </c>
      <c r="H9" s="16">
        <f>PARAM!$D$15</f>
        <v>300</v>
      </c>
      <c r="I9" s="16">
        <f>PARAM!$E$15</f>
        <v>150</v>
      </c>
      <c r="J9" s="16">
        <f>PARAM!$E$15</f>
        <v>150</v>
      </c>
      <c r="K9" s="16">
        <f>PARAM!$F$15</f>
        <v>6.5</v>
      </c>
      <c r="L9" s="16">
        <f>PARAM!$G$15</f>
        <v>9</v>
      </c>
      <c r="M9" s="16">
        <f>PARAM!$G$15</f>
        <v>9</v>
      </c>
      <c r="N9" s="16">
        <f>PARAM!$H$15</f>
        <v>13</v>
      </c>
    </row>
    <row r="10" spans="1:1" x14ac:dyDescent="0.25">
      <c r="A10" s="10" t="s">
        <v>82</v>
      </c>
    </row>
    <row r="11" spans="1:1" x14ac:dyDescent="0.25">
      <c r="A11" s="10" t="s">
        <v>93</v>
      </c>
    </row>
    <row r="12" spans="1:9" x14ac:dyDescent="0.25">
      <c r="A12" s="10" t="s">
        <v>94</v>
      </c>
      <c r="B12" s="15" t="s">
        <v>95</v>
      </c>
      <c r="C12" s="16" t="s">
        <v>96</v>
      </c>
      <c r="D12" s="16" t="str">
        <f>PARAM!$G$9</f>
        <v>SS275</v>
      </c>
      <c r="E12" s="16">
        <f>PARAM!$E$23</f>
        <v>12</v>
      </c>
      <c r="F12" s="16" t="s">
        <v>97</v>
      </c>
      <c r="G12" s="16" t="s">
        <v>87</v>
      </c>
      <c r="H12" s="16">
        <f>PARAM!$C$23</f>
        <v>180</v>
      </c>
      <c r="I12" s="16">
        <f>PARAM!$D$23</f>
        <v>230</v>
      </c>
    </row>
    <row r="13" spans="1:9" x14ac:dyDescent="0.25">
      <c r="A13" s="10" t="s">
        <v>98</v>
      </c>
      <c r="B13" s="15" t="s">
        <v>95</v>
      </c>
      <c r="C13" s="16" t="s">
        <v>99</v>
      </c>
      <c r="D13" s="16" t="str">
        <f>PARAM!$G$9</f>
        <v>SS275</v>
      </c>
      <c r="E13" s="16">
        <f>PARAM!$E$24</f>
        <v>10</v>
      </c>
      <c r="F13" s="16" t="s">
        <v>97</v>
      </c>
      <c r="G13" s="16" t="s">
        <v>87</v>
      </c>
      <c r="H13" s="16">
        <f>PARAM!$C$24</f>
        <v>140</v>
      </c>
      <c r="I13" s="16">
        <f>PARAM!$D$24</f>
        <v>230</v>
      </c>
    </row>
    <row r="14" spans="1:9" x14ac:dyDescent="0.25">
      <c r="A14" s="10" t="s">
        <v>100</v>
      </c>
      <c r="B14" s="15" t="s">
        <v>95</v>
      </c>
      <c r="C14" s="16" t="s">
        <v>101</v>
      </c>
      <c r="D14" s="16" t="str">
        <f>PARAM!$G$9</f>
        <v>SS275</v>
      </c>
      <c r="E14" s="16">
        <f>PARAM!$E$25</f>
        <v>20</v>
      </c>
      <c r="F14" s="16" t="s">
        <v>97</v>
      </c>
      <c r="G14" s="16" t="s">
        <v>87</v>
      </c>
      <c r="H14" s="16">
        <f>PARAM!$C$25</f>
        <v>420</v>
      </c>
      <c r="I14" s="16">
        <f>PARAM!$D$25</f>
        <v>420</v>
      </c>
    </row>
    <row r="15" spans="1:1" x14ac:dyDescent="0.25">
      <c r="A15" s="10" t="s">
        <v>82</v>
      </c>
    </row>
    <row r="16" spans="1:1" x14ac:dyDescent="0.25">
      <c r="A16" s="10" t="s">
        <v>102</v>
      </c>
    </row>
    <row r="17" spans="1:12" x14ac:dyDescent="0.25">
      <c r="A17" s="10" t="s">
        <v>103</v>
      </c>
      <c r="B17" s="15" t="s">
        <v>104</v>
      </c>
      <c r="C17" s="16" t="s">
        <v>105</v>
      </c>
      <c r="D17" s="16" t="str">
        <f>PARAM!$C$31</f>
        <v>F10T</v>
      </c>
      <c r="E17" s="16">
        <f>PARAM!$D$31</f>
        <v>16</v>
      </c>
      <c r="F17" s="16">
        <f>PARAM!$G$33</f>
        <v>45</v>
      </c>
      <c r="G17" s="16">
        <f>PARAM!$E$31</f>
        <v>18</v>
      </c>
      <c r="H17" s="16"/>
      <c r="I17" s="16"/>
      <c r="J17" s="16"/>
      <c r="K17" s="16">
        <f>PARAM!$F$33</f>
        <v>14.4</v>
      </c>
      <c r="L17" s="16">
        <f>PARAM!$G$33-PARAM!$C$33-PARAM!$F$33</f>
        <v>3.6</v>
      </c>
    </row>
    <row r="18" spans="1:12" x14ac:dyDescent="0.25">
      <c r="A18" s="10" t="s">
        <v>106</v>
      </c>
      <c r="B18" s="15" t="s">
        <v>104</v>
      </c>
      <c r="C18" s="16" t="s">
        <v>107</v>
      </c>
      <c r="D18" s="16" t="str">
        <f>PARAM!$C$31</f>
        <v>F10T</v>
      </c>
      <c r="E18" s="16">
        <f>PARAM!$D$31</f>
        <v>16</v>
      </c>
      <c r="F18" s="16">
        <f>PARAM!$G$33</f>
        <v>45</v>
      </c>
      <c r="G18" s="16">
        <f>PARAM!$E$31</f>
        <v>18</v>
      </c>
      <c r="H18" s="16"/>
      <c r="I18" s="16"/>
      <c r="J18" s="16"/>
      <c r="K18" s="16">
        <f>PARAM!$F$33</f>
        <v>14.4</v>
      </c>
      <c r="L18" s="16">
        <f>PARAM!$G$33-PARAM!$D$33-PARAM!$F$33</f>
        <v>14.1</v>
      </c>
    </row>
    <row r="19" spans="1:12" x14ac:dyDescent="0.25">
      <c r="A19" s="10" t="s">
        <v>77</v>
      </c>
      <c r="B19" s="15" t="s">
        <v>104</v>
      </c>
      <c r="C19" s="16" t="s">
        <v>108</v>
      </c>
      <c r="D19" s="16" t="str">
        <f>PARAM!$C$31</f>
        <v>F10T</v>
      </c>
      <c r="E19" s="16">
        <f>PARAM!$D$31</f>
        <v>16</v>
      </c>
      <c r="F19" s="16">
        <f>PARAM!$H$33</f>
        <v>60</v>
      </c>
      <c r="G19" s="16">
        <f>PARAM!$E$31</f>
        <v>18</v>
      </c>
      <c r="H19" s="16"/>
      <c r="I19" s="16"/>
      <c r="J19" s="16"/>
      <c r="K19" s="16">
        <f>PARAM!$F$33</f>
        <v>14.4</v>
      </c>
      <c r="L19" s="16">
        <f>PARAM!$H$33-PARAM!$E$33-PARAM!$F$33</f>
        <v>5.6</v>
      </c>
    </row>
    <row r="20" spans="1:1" x14ac:dyDescent="0.25">
      <c r="A20" s="10" t="s">
        <v>82</v>
      </c>
    </row>
    <row r="21" spans="1:1" x14ac:dyDescent="0.25">
      <c r="A21" s="10" t="s">
        <v>109</v>
      </c>
    </row>
    <row r="22" spans="1:1" x14ac:dyDescent="0.25">
      <c r="A22" s="10" t="s">
        <v>110</v>
      </c>
    </row>
    <row r="23" spans="1:12" x14ac:dyDescent="0.25">
      <c r="A23" s="10" t="s">
        <v>111</v>
      </c>
      <c r="B23" s="15" t="s">
        <v>112</v>
      </c>
      <c r="C23" s="16" t="s">
        <v>113</v>
      </c>
      <c r="D23" s="16" t="str">
        <f>"sc.c1"</f>
        <v>sc.c1</v>
      </c>
      <c r="E23" s="16"/>
      <c r="F23" s="16">
        <v>0</v>
      </c>
      <c r="G23" s="16">
        <v>0</v>
      </c>
      <c r="H23" s="16">
        <v>0</v>
      </c>
      <c r="I23" s="16" t="s">
        <v>114</v>
      </c>
      <c r="J23" s="16">
        <v>0</v>
      </c>
      <c r="K23" s="16">
        <v>0</v>
      </c>
      <c r="L23" s="16">
        <v>90</v>
      </c>
    </row>
    <row r="24" spans="2:6" x14ac:dyDescent="0.25">
      <c r="B24" s="15" t="s">
        <v>112</v>
      </c>
      <c r="C24" s="16" t="s">
        <v>113</v>
      </c>
      <c r="D24" s="16" t="s">
        <v>115</v>
      </c>
      <c r="E24" s="16" t="s">
        <v>86</v>
      </c>
      <c r="F24" s="16" t="s">
        <v>87</v>
      </c>
    </row>
    <row r="25" spans="2:12" x14ac:dyDescent="0.25">
      <c r="B25" s="15" t="s">
        <v>112</v>
      </c>
      <c r="C25" s="16" t="s">
        <v>116</v>
      </c>
      <c r="D25" s="16" t="str">
        <f>IF(PARAM!$D$9&gt;0,"sc.c2","")</f>
        <v>sc.c2</v>
      </c>
      <c r="E25" s="16"/>
      <c r="F25" s="16">
        <v>0</v>
      </c>
      <c r="G25" s="16">
        <v>0</v>
      </c>
      <c r="H25" s="16">
        <v>0</v>
      </c>
      <c r="I25" s="16" t="s">
        <v>114</v>
      </c>
      <c r="J25" s="16">
        <v>0</v>
      </c>
      <c r="K25" s="16">
        <v>0</v>
      </c>
      <c r="L25" s="16">
        <v>90</v>
      </c>
    </row>
    <row r="26" spans="2:6" x14ac:dyDescent="0.25">
      <c r="B26" s="15" t="s">
        <v>112</v>
      </c>
      <c r="C26" s="16" t="s">
        <v>116</v>
      </c>
      <c r="D26" s="16" t="s">
        <v>115</v>
      </c>
      <c r="E26" s="16" t="s">
        <v>88</v>
      </c>
      <c r="F26" s="16" t="s">
        <v>87</v>
      </c>
    </row>
    <row r="27" spans="2:12" x14ac:dyDescent="0.25">
      <c r="B27" s="15" t="s">
        <v>112</v>
      </c>
      <c r="C27" s="16" t="s">
        <v>117</v>
      </c>
      <c r="D27" s="16" t="str">
        <f>IF(PARAM!$E$9&gt;0,"sc.c3","")</f>
        <v>sc.c3</v>
      </c>
      <c r="E27" s="16"/>
      <c r="F27" s="16">
        <v>0</v>
      </c>
      <c r="G27" s="16">
        <v>0</v>
      </c>
      <c r="H27" s="16">
        <v>0</v>
      </c>
      <c r="I27" s="16" t="s">
        <v>114</v>
      </c>
      <c r="J27" s="16">
        <v>0</v>
      </c>
      <c r="K27" s="16">
        <v>0</v>
      </c>
      <c r="L27" s="16">
        <v>90</v>
      </c>
    </row>
    <row r="28" spans="2:6" x14ac:dyDescent="0.25">
      <c r="B28" s="15" t="s">
        <v>112</v>
      </c>
      <c r="C28" s="16" t="s">
        <v>117</v>
      </c>
      <c r="D28" s="16" t="s">
        <v>115</v>
      </c>
      <c r="E28" s="16" t="s">
        <v>89</v>
      </c>
      <c r="F28" s="16" t="s">
        <v>87</v>
      </c>
    </row>
    <row r="29" spans="1:1" x14ac:dyDescent="0.25">
      <c r="A29" s="10" t="s">
        <v>82</v>
      </c>
    </row>
    <row r="30" spans="1:1" x14ac:dyDescent="0.25">
      <c r="A30" s="10" t="s">
        <v>118</v>
      </c>
    </row>
    <row r="31" spans="1:12" x14ac:dyDescent="0.25">
      <c r="A31" s="10" t="s">
        <v>119</v>
      </c>
      <c r="B31" s="15" t="s">
        <v>112</v>
      </c>
      <c r="C31" s="16" t="s">
        <v>120</v>
      </c>
      <c r="D31" s="16" t="str">
        <f>IF(PARAM!$C$17="end plate","pl.ep","")</f>
        <v>pl.ep</v>
      </c>
      <c r="E31" s="16" t="s">
        <v>87</v>
      </c>
      <c r="F31" s="16">
        <f>-PARAM!$E$23/2</f>
        <v>-6</v>
      </c>
      <c r="G31" s="16">
        <f>0</f>
        <v>0</v>
      </c>
      <c r="H31" s="16">
        <v>0</v>
      </c>
      <c r="I31" s="16" t="s">
        <v>121</v>
      </c>
      <c r="J31" s="16">
        <v>0</v>
      </c>
      <c r="K31" s="16">
        <v>0</v>
      </c>
      <c r="L31" s="16">
        <v>0</v>
      </c>
    </row>
    <row r="32" spans="1:12" x14ac:dyDescent="0.25">
      <c r="A32" s="10" t="s">
        <v>122</v>
      </c>
      <c r="B32" s="15" t="s">
        <v>112</v>
      </c>
      <c r="C32" s="16" t="s">
        <v>120</v>
      </c>
      <c r="D32" s="16" t="str">
        <f>IF(PARAM!$C$17="fin plate","pl.fin","")</f>
        <v/>
      </c>
      <c r="E32" s="16" t="s">
        <v>87</v>
      </c>
      <c r="F32" s="16">
        <f>PARAM!$C$24/2</f>
        <v>70</v>
      </c>
      <c r="G32" s="16">
        <f>8.25</f>
        <v>8.25</v>
      </c>
      <c r="H32" s="16">
        <v>0</v>
      </c>
      <c r="I32" s="16" t="s">
        <v>123</v>
      </c>
      <c r="J32" s="16">
        <v>0</v>
      </c>
      <c r="K32" s="16">
        <v>0</v>
      </c>
      <c r="L32" s="16">
        <v>0</v>
      </c>
    </row>
    <row r="33" spans="1:12" x14ac:dyDescent="0.25">
      <c r="A33" s="10" t="s">
        <v>124</v>
      </c>
      <c r="B33" s="15" t="s">
        <v>112</v>
      </c>
      <c r="C33" s="16" t="s">
        <v>120</v>
      </c>
      <c r="D33" s="16" t="s">
        <v>91</v>
      </c>
      <c r="E33" s="16"/>
      <c r="F33" s="16">
        <v>0</v>
      </c>
      <c r="G33" s="16">
        <v>0</v>
      </c>
      <c r="H33" s="16">
        <v>0</v>
      </c>
      <c r="I33" s="16" t="s">
        <v>121</v>
      </c>
      <c r="J33" s="16">
        <v>0</v>
      </c>
      <c r="K33" s="16">
        <v>0</v>
      </c>
      <c r="L33" s="16">
        <v>0</v>
      </c>
    </row>
    <row r="34" spans="1:20" x14ac:dyDescent="0.25">
      <c r="A34" s="10" t="s">
        <v>125</v>
      </c>
      <c r="B34" s="15" t="s">
        <v>112</v>
      </c>
      <c r="C34" s="16" t="s">
        <v>120</v>
      </c>
      <c r="D34" s="16" t="str">
        <f>IF(PARAM!$C$17="end plate","bo.ep",IF(PARAM!$C$17="fin plate","bo.fin",""))</f>
        <v>bo.ep</v>
      </c>
      <c r="E34" s="16"/>
      <c r="F34" s="16">
        <f>IF(PARAM!$C$17="end plate",-(IF(PARAM!$C$8="H",PARAM!$G$6,PARAM!$F$7)+PARAM!$E$23),PARAM!$F$24)</f>
        <v>-27</v>
      </c>
      <c r="G34" s="16">
        <f>IF(PARAM!$C$17="end plate",PARAM!$F$23/2,PARAM!$F$15/2+PARAM!$E$24)</f>
        <v>45</v>
      </c>
      <c r="H34" s="16">
        <f>-PARAM!$F$31*(PARAM!$G$31-1)/2</f>
        <v>-70</v>
      </c>
      <c r="I34" s="16" t="str">
        <f>IF(PARAM!$C$17="end plate","YZ","XZ")</f>
        <v>YZ</v>
      </c>
      <c r="J34" s="16">
        <v>0</v>
      </c>
      <c r="K34" s="16">
        <v>0</v>
      </c>
      <c r="L34" s="16">
        <v>0</v>
      </c>
      <c r="M34" s="16">
        <f>IF(PARAM!$C$17="end plate",0,0)</f>
        <v>0</v>
      </c>
      <c r="N34" s="16">
        <f>IF(PARAM!$C$17="end plate",-PARAM!$F$23,0)</f>
        <v>-90</v>
      </c>
      <c r="O34" s="16">
        <v>0</v>
      </c>
      <c r="P34" s="16">
        <f>IF(PARAM!$C$17="end plate",1,0)</f>
        <v>1</v>
      </c>
      <c r="Q34" s="16">
        <v>0</v>
      </c>
      <c r="R34" s="16">
        <v>0</v>
      </c>
      <c r="S34" s="16">
        <f>PARAM!$F$31</f>
        <v>70</v>
      </c>
      <c r="T34" s="16">
        <f>PARAM!$G$31-1</f>
        <v>2</v>
      </c>
    </row>
    <row r="35" spans="2:6" x14ac:dyDescent="0.25">
      <c r="B35" s="15" t="s">
        <v>112</v>
      </c>
      <c r="C35" s="16" t="s">
        <v>120</v>
      </c>
      <c r="D35" s="16" t="s">
        <v>115</v>
      </c>
      <c r="E35" s="16" t="s">
        <v>91</v>
      </c>
      <c r="F35" s="16" t="s">
        <v>87</v>
      </c>
    </row>
    <row r="36" spans="1:1" x14ac:dyDescent="0.25">
      <c r="A36" s="10" t="s">
        <v>82</v>
      </c>
    </row>
    <row r="37" spans="1:1" x14ac:dyDescent="0.25">
      <c r="A37" s="10" t="s">
        <v>126</v>
      </c>
    </row>
    <row r="38" spans="1:12" x14ac:dyDescent="0.25">
      <c r="A38" s="10" t="s">
        <v>119</v>
      </c>
      <c r="B38" s="15" t="s">
        <v>112</v>
      </c>
      <c r="C38" s="16" t="s">
        <v>127</v>
      </c>
      <c r="D38" s="16" t="str">
        <f>IF(PARAM!$E$17="end plate","pl.ep","")</f>
        <v/>
      </c>
      <c r="E38" s="16" t="s">
        <v>87</v>
      </c>
      <c r="F38" s="16">
        <f>-(-PARAM!$E$23/2)</f>
        <v>6</v>
      </c>
      <c r="G38" s="16">
        <f>0</f>
        <v>0</v>
      </c>
      <c r="H38" s="16">
        <v>0</v>
      </c>
      <c r="I38" s="16" t="s">
        <v>121</v>
      </c>
      <c r="J38" s="16">
        <v>0</v>
      </c>
      <c r="K38" s="16">
        <v>0</v>
      </c>
      <c r="L38" s="16">
        <v>180</v>
      </c>
    </row>
    <row r="39" spans="1:12" x14ac:dyDescent="0.25">
      <c r="A39" s="10" t="s">
        <v>122</v>
      </c>
      <c r="B39" s="15" t="s">
        <v>112</v>
      </c>
      <c r="C39" s="16" t="s">
        <v>127</v>
      </c>
      <c r="D39" s="16" t="str">
        <f>IF(PARAM!$E$17="fin plate","pl.fin","")</f>
        <v>pl.fin</v>
      </c>
      <c r="E39" s="16" t="s">
        <v>87</v>
      </c>
      <c r="F39" s="16">
        <f>-(PARAM!$C$24/2)</f>
        <v>-70</v>
      </c>
      <c r="G39" s="16">
        <f>8.25</f>
        <v>8.25</v>
      </c>
      <c r="H39" s="16">
        <v>0</v>
      </c>
      <c r="I39" s="16" t="s">
        <v>123</v>
      </c>
      <c r="J39" s="16">
        <v>0</v>
      </c>
      <c r="K39" s="16">
        <v>0</v>
      </c>
      <c r="L39" s="16">
        <v>180</v>
      </c>
    </row>
    <row r="40" spans="1:12" x14ac:dyDescent="0.25">
      <c r="A40" s="10" t="s">
        <v>124</v>
      </c>
      <c r="B40" s="15" t="s">
        <v>112</v>
      </c>
      <c r="C40" s="16" t="s">
        <v>127</v>
      </c>
      <c r="D40" s="16" t="s">
        <v>91</v>
      </c>
      <c r="E40" s="16"/>
      <c r="F40" s="16">
        <v>0</v>
      </c>
      <c r="G40" s="16">
        <v>0</v>
      </c>
      <c r="H40" s="16">
        <v>0</v>
      </c>
      <c r="I40" s="16" t="s">
        <v>121</v>
      </c>
      <c r="J40" s="16">
        <v>0</v>
      </c>
      <c r="K40" s="16">
        <v>0</v>
      </c>
      <c r="L40" s="16">
        <v>180</v>
      </c>
    </row>
    <row r="41" spans="1:20" x14ac:dyDescent="0.25">
      <c r="A41" s="10" t="s">
        <v>125</v>
      </c>
      <c r="B41" s="15" t="s">
        <v>112</v>
      </c>
      <c r="C41" s="16" t="s">
        <v>127</v>
      </c>
      <c r="D41" s="16" t="str">
        <f>IF(PARAM!$E$17="end plate","bo.ep",IF(PARAM!$E$17="fin plate","bo.fin",""))</f>
        <v>bo.fin</v>
      </c>
      <c r="E41" s="16"/>
      <c r="F41" s="16">
        <f>-(IF(PARAM!$E$17="end plate",-(IF(PARAM!$C$8="H",PARAM!$G$6,PARAM!$F$7)+PARAM!$E$23),PARAM!$F$24))</f>
        <v>-60</v>
      </c>
      <c r="G41" s="16">
        <f>IF(PARAM!$E$17="end plate",PARAM!$F$23/2,PARAM!$F$15/2+PARAM!$E$24)</f>
        <v>13.25</v>
      </c>
      <c r="H41" s="16">
        <f>-PARAM!$F$31*(PARAM!$G$31-1)/2</f>
        <v>-70</v>
      </c>
      <c r="I41" s="16" t="str">
        <f>IF(PARAM!$E$17="end plate","YZ","XZ")</f>
        <v>XZ</v>
      </c>
      <c r="J41" s="16">
        <v>0</v>
      </c>
      <c r="K41" s="16">
        <v>0</v>
      </c>
      <c r="L41" s="16">
        <v>180</v>
      </c>
      <c r="M41" s="16">
        <f>IF(PARAM!$E$17="end plate",0,0)</f>
        <v>0</v>
      </c>
      <c r="N41" s="16">
        <f>IF(PARAM!$E$17="end plate",-PARAM!$F$23,0)</f>
        <v>0</v>
      </c>
      <c r="O41" s="16">
        <v>0</v>
      </c>
      <c r="P41" s="16">
        <f>IF(PARAM!$E$17="end plate",1,0)</f>
        <v>0</v>
      </c>
      <c r="Q41" s="16">
        <v>0</v>
      </c>
      <c r="R41" s="16">
        <v>0</v>
      </c>
      <c r="S41" s="16">
        <f>PARAM!$F$31</f>
        <v>70</v>
      </c>
      <c r="T41" s="16">
        <f>PARAM!$G$31-1</f>
        <v>2</v>
      </c>
    </row>
    <row r="42" spans="2:6" x14ac:dyDescent="0.25">
      <c r="B42" s="15" t="s">
        <v>112</v>
      </c>
      <c r="C42" s="16" t="s">
        <v>127</v>
      </c>
      <c r="D42" s="16" t="s">
        <v>115</v>
      </c>
      <c r="E42" s="16" t="s">
        <v>91</v>
      </c>
      <c r="F42" s="16" t="s">
        <v>87</v>
      </c>
    </row>
    <row r="43" spans="1:1" x14ac:dyDescent="0.25">
      <c r="A43" s="10" t="s">
        <v>82</v>
      </c>
    </row>
    <row r="44" spans="1:1" x14ac:dyDescent="0.25">
      <c r="A44" s="10" t="s">
        <v>128</v>
      </c>
    </row>
    <row r="45" spans="1:12" x14ac:dyDescent="0.25">
      <c r="A45" s="10" t="s">
        <v>119</v>
      </c>
      <c r="B45" s="15" t="s">
        <v>112</v>
      </c>
      <c r="C45" s="16" t="s">
        <v>129</v>
      </c>
      <c r="D45" s="16" t="str">
        <f>IF(PARAM!$G$17="end plate","pl.ep","")</f>
        <v/>
      </c>
      <c r="E45" s="16" t="s">
        <v>87</v>
      </c>
      <c r="F45" s="16">
        <f>0</f>
        <v>0</v>
      </c>
      <c r="G45" s="16">
        <f>-PARAM!$E$23/2</f>
        <v>-6</v>
      </c>
      <c r="H45" s="16">
        <v>0</v>
      </c>
      <c r="I45" s="16" t="s">
        <v>123</v>
      </c>
      <c r="J45" s="16">
        <v>0</v>
      </c>
      <c r="K45" s="16">
        <v>0</v>
      </c>
      <c r="L45" s="16">
        <v>180</v>
      </c>
    </row>
    <row r="46" spans="1:12" x14ac:dyDescent="0.25">
      <c r="A46" s="10" t="s">
        <v>122</v>
      </c>
      <c r="B46" s="15" t="s">
        <v>112</v>
      </c>
      <c r="C46" s="16" t="s">
        <v>129</v>
      </c>
      <c r="D46" s="16" t="str">
        <f>IF(PARAM!$G$17="fin plate","pl.fin","")</f>
        <v>pl.fin</v>
      </c>
      <c r="E46" s="16" t="s">
        <v>87</v>
      </c>
      <c r="F46" s="16">
        <f>8.25</f>
        <v>8.25</v>
      </c>
      <c r="G46" s="16">
        <f>PARAM!$C$24/2</f>
        <v>70</v>
      </c>
      <c r="H46" s="16">
        <v>0</v>
      </c>
      <c r="I46" s="16" t="s">
        <v>121</v>
      </c>
      <c r="J46" s="16">
        <v>0</v>
      </c>
      <c r="K46" s="16">
        <v>0</v>
      </c>
      <c r="L46" s="16">
        <v>180</v>
      </c>
    </row>
    <row r="47" spans="1:12" x14ac:dyDescent="0.25">
      <c r="A47" s="10" t="s">
        <v>124</v>
      </c>
      <c r="B47" s="15" t="s">
        <v>112</v>
      </c>
      <c r="C47" s="16" t="s">
        <v>129</v>
      </c>
      <c r="D47" s="16" t="s">
        <v>91</v>
      </c>
      <c r="E47" s="16"/>
      <c r="F47" s="16">
        <v>0</v>
      </c>
      <c r="G47" s="16">
        <v>0</v>
      </c>
      <c r="H47" s="16">
        <v>0</v>
      </c>
      <c r="I47" s="16" t="s">
        <v>123</v>
      </c>
      <c r="J47" s="16">
        <v>0</v>
      </c>
      <c r="K47" s="16">
        <v>0</v>
      </c>
      <c r="L47" s="16">
        <v>180</v>
      </c>
    </row>
    <row r="48" spans="1:20" x14ac:dyDescent="0.25">
      <c r="A48" s="10" t="s">
        <v>125</v>
      </c>
      <c r="B48" s="15" t="s">
        <v>112</v>
      </c>
      <c r="C48" s="16" t="s">
        <v>129</v>
      </c>
      <c r="D48" s="16" t="str">
        <f>IF(PARAM!$G$17="end plate","bo.ep",IF(PARAM!$G$17="fin plate","bo.fin",""))</f>
        <v>bo.fin</v>
      </c>
      <c r="E48" s="16"/>
      <c r="F48" s="16">
        <f>IF(PARAM!$G$17="end plate",PARAM!$F$23/2,PARAM!$F$15/2+PARAM!$E$24)</f>
        <v>13.25</v>
      </c>
      <c r="G48" s="16">
        <f>IF(PARAM!$G$17="end plate",-(IF(PARAM!$C$8="H",PARAM!$F$6,PARAM!$F$7)+PARAM!$E$23),PARAM!$F$24)</f>
        <v>60</v>
      </c>
      <c r="H48" s="16">
        <f>-PARAM!$F$31*(PARAM!$G$31-1)/2</f>
        <v>-70</v>
      </c>
      <c r="I48" s="16" t="str">
        <f>IF(PARAM!$G$17="end plate","XZ","YZ")</f>
        <v>YZ</v>
      </c>
      <c r="J48" s="16">
        <v>0</v>
      </c>
      <c r="K48" s="16">
        <v>0</v>
      </c>
      <c r="L48" s="16">
        <v>180</v>
      </c>
      <c r="M48" s="16">
        <f>IF(PARAM!$G$17="end plate",-PARAM!$F$23,0)</f>
        <v>0</v>
      </c>
      <c r="N48" s="16">
        <f>IF(PARAM!$G$17="end plate",0,0)</f>
        <v>0</v>
      </c>
      <c r="O48" s="16">
        <v>0</v>
      </c>
      <c r="P48" s="16">
        <f>IF(PARAM!$G$17="end plate",1,0)</f>
        <v>0</v>
      </c>
      <c r="Q48" s="16">
        <v>0</v>
      </c>
      <c r="R48" s="16">
        <v>0</v>
      </c>
      <c r="S48" s="16">
        <f>PARAM!$F$31</f>
        <v>70</v>
      </c>
      <c r="T48" s="16">
        <f>PARAM!$G$31-1</f>
        <v>2</v>
      </c>
    </row>
    <row r="49" spans="2:6" x14ac:dyDescent="0.25">
      <c r="B49" s="15" t="s">
        <v>112</v>
      </c>
      <c r="C49" s="16" t="s">
        <v>129</v>
      </c>
      <c r="D49" s="16" t="s">
        <v>115</v>
      </c>
      <c r="E49" s="16" t="s">
        <v>91</v>
      </c>
      <c r="F49" s="16" t="s">
        <v>87</v>
      </c>
    </row>
    <row r="50" spans="1:1" x14ac:dyDescent="0.25">
      <c r="A50" s="10" t="s">
        <v>82</v>
      </c>
    </row>
    <row r="51" spans="1:1" x14ac:dyDescent="0.25">
      <c r="A51" s="10" t="s">
        <v>130</v>
      </c>
    </row>
    <row r="52" spans="1:12" x14ac:dyDescent="0.25">
      <c r="A52" s="10" t="s">
        <v>119</v>
      </c>
      <c r="B52" s="15" t="s">
        <v>112</v>
      </c>
      <c r="C52" s="16" t="s">
        <v>131</v>
      </c>
      <c r="D52" s="16" t="str">
        <f>IF(PARAM!$I$17="end plate","pl.ep","")</f>
        <v>pl.ep</v>
      </c>
      <c r="E52" s="16" t="s">
        <v>87</v>
      </c>
      <c r="F52" s="16">
        <f>0</f>
        <v>0</v>
      </c>
      <c r="G52" s="16">
        <f>-(-PARAM!$E$23/2)</f>
        <v>6</v>
      </c>
      <c r="H52" s="16">
        <v>0</v>
      </c>
      <c r="I52" s="16" t="s">
        <v>123</v>
      </c>
      <c r="J52" s="16">
        <v>0</v>
      </c>
      <c r="K52" s="16">
        <v>0</v>
      </c>
      <c r="L52" s="16">
        <v>0</v>
      </c>
    </row>
    <row r="53" spans="1:12" x14ac:dyDescent="0.25">
      <c r="A53" s="10" t="s">
        <v>122</v>
      </c>
      <c r="B53" s="15" t="s">
        <v>112</v>
      </c>
      <c r="C53" s="16" t="s">
        <v>131</v>
      </c>
      <c r="D53" s="16" t="str">
        <f>IF(PARAM!$I$17="fin plate","pl.fin","")</f>
        <v/>
      </c>
      <c r="E53" s="16" t="s">
        <v>87</v>
      </c>
      <c r="F53" s="16">
        <f>8.25</f>
        <v>8.25</v>
      </c>
      <c r="G53" s="16">
        <f>-(PARAM!$C$24/2)</f>
        <v>-70</v>
      </c>
      <c r="H53" s="16">
        <v>0</v>
      </c>
      <c r="I53" s="16" t="s">
        <v>121</v>
      </c>
      <c r="J53" s="16">
        <v>0</v>
      </c>
      <c r="K53" s="16">
        <v>0</v>
      </c>
      <c r="L53" s="16">
        <v>0</v>
      </c>
    </row>
    <row r="54" spans="1:12" x14ac:dyDescent="0.25">
      <c r="A54" s="10" t="s">
        <v>124</v>
      </c>
      <c r="B54" s="15" t="s">
        <v>112</v>
      </c>
      <c r="C54" s="16" t="s">
        <v>131</v>
      </c>
      <c r="D54" s="16" t="s">
        <v>91</v>
      </c>
      <c r="E54" s="16"/>
      <c r="F54" s="16">
        <v>0</v>
      </c>
      <c r="G54" s="16">
        <v>0</v>
      </c>
      <c r="H54" s="16">
        <v>0</v>
      </c>
      <c r="I54" s="16" t="s">
        <v>123</v>
      </c>
      <c r="J54" s="16">
        <v>0</v>
      </c>
      <c r="K54" s="16">
        <v>0</v>
      </c>
      <c r="L54" s="16">
        <v>0</v>
      </c>
    </row>
    <row r="55" spans="1:20" x14ac:dyDescent="0.25">
      <c r="A55" s="10" t="s">
        <v>125</v>
      </c>
      <c r="B55" s="15" t="s">
        <v>112</v>
      </c>
      <c r="C55" s="16" t="s">
        <v>131</v>
      </c>
      <c r="D55" s="16" t="str">
        <f>IF(PARAM!$I$17="end plate","bo.ep",IF(PARAM!$I$17="fin plate","bo.fin",""))</f>
        <v>bo.ep</v>
      </c>
      <c r="E55" s="16"/>
      <c r="F55" s="16">
        <f>IF(PARAM!$I$17="end plate",PARAM!$F$23/2,PARAM!$F$15/2+PARAM!$E$24)</f>
        <v>45</v>
      </c>
      <c r="G55" s="16">
        <f>-(IF(PARAM!$I$17="end plate",-(IF(PARAM!$C$8="H",PARAM!$F$6,PARAM!$F$7)+PARAM!$E$23),PARAM!$F$24))</f>
        <v>22</v>
      </c>
      <c r="H55" s="16">
        <f>-PARAM!$F$31*(PARAM!$G$31-1)/2</f>
        <v>-70</v>
      </c>
      <c r="I55" s="16" t="str">
        <f>IF(PARAM!$I$17="end plate","XZ","YZ")</f>
        <v>XZ</v>
      </c>
      <c r="J55" s="16">
        <v>0</v>
      </c>
      <c r="K55" s="16">
        <v>0</v>
      </c>
      <c r="L55" s="16">
        <v>0</v>
      </c>
      <c r="M55" s="16">
        <f>IF(PARAM!$I$17="end plate",-PARAM!$F$23,0)</f>
        <v>-90</v>
      </c>
      <c r="N55" s="16">
        <f>IF(PARAM!$I$17="end plate",0,0)</f>
        <v>0</v>
      </c>
      <c r="O55" s="16">
        <v>0</v>
      </c>
      <c r="P55" s="16">
        <f>IF(PARAM!$I$17="end plate",1,0)</f>
        <v>1</v>
      </c>
      <c r="Q55" s="16">
        <v>0</v>
      </c>
      <c r="R55" s="16">
        <v>0</v>
      </c>
      <c r="S55" s="16">
        <f>PARAM!$F$31</f>
        <v>70</v>
      </c>
      <c r="T55" s="16">
        <f>PARAM!$G$31-1</f>
        <v>2</v>
      </c>
    </row>
    <row r="56" spans="2:6" x14ac:dyDescent="0.25">
      <c r="B56" s="15" t="s">
        <v>112</v>
      </c>
      <c r="C56" s="16" t="s">
        <v>131</v>
      </c>
      <c r="D56" s="16" t="s">
        <v>115</v>
      </c>
      <c r="E56" s="16" t="s">
        <v>91</v>
      </c>
      <c r="F56" s="16" t="s">
        <v>87</v>
      </c>
    </row>
    <row r="57" spans="1:1" x14ac:dyDescent="0.25">
      <c r="A57" s="10" t="s">
        <v>82</v>
      </c>
    </row>
    <row r="58" spans="1:1" x14ac:dyDescent="0.25">
      <c r="A58" s="10" t="s">
        <v>132</v>
      </c>
    </row>
    <row r="59" spans="1:9" x14ac:dyDescent="0.25">
      <c r="A59" s="10" t="s">
        <v>133</v>
      </c>
      <c r="B59" s="15" t="s">
        <v>112</v>
      </c>
      <c r="C59" s="16" t="s">
        <v>134</v>
      </c>
      <c r="D59" s="16" t="str">
        <f>IF(PARAM!$D$9&gt;0,"pl.sp","")</f>
        <v>pl.sp</v>
      </c>
      <c r="E59" s="16" t="s">
        <v>87</v>
      </c>
      <c r="F59" s="16">
        <v>0</v>
      </c>
      <c r="G59" s="16">
        <v>0</v>
      </c>
      <c r="H59" s="16">
        <v>0</v>
      </c>
      <c r="I59" s="16" t="s">
        <v>114</v>
      </c>
    </row>
    <row r="60" spans="2:9" x14ac:dyDescent="0.25">
      <c r="B60" s="15" t="s">
        <v>112</v>
      </c>
      <c r="C60" s="16" t="s">
        <v>134</v>
      </c>
      <c r="D60" s="16" t="str">
        <f>IF(PARAM!$D$9&gt;0,"pl.sp","")</f>
        <v>pl.sp</v>
      </c>
      <c r="E60" s="16" t="s">
        <v>87</v>
      </c>
      <c r="F60" s="16">
        <v>0</v>
      </c>
      <c r="G60" s="16">
        <v>0</v>
      </c>
      <c r="H60" s="16">
        <f>PARAM!$E$25</f>
        <v>20</v>
      </c>
      <c r="I60" s="16" t="s">
        <v>114</v>
      </c>
    </row>
    <row r="61" spans="1:20" x14ac:dyDescent="0.25">
      <c r="A61" s="10" t="s">
        <v>135</v>
      </c>
      <c r="B61" s="15" t="s">
        <v>112</v>
      </c>
      <c r="C61" s="16" t="s">
        <v>134</v>
      </c>
      <c r="D61" s="16" t="str">
        <f>IF(PARAM!$D$9&gt;0,"bo.sp","")</f>
        <v>bo.sp</v>
      </c>
      <c r="E61" s="16"/>
      <c r="F61" s="16">
        <f>-(IF(PARAM!$C$8="H",PARAM!$D$6,PARAM!$D$7)/2+PARAM!$F$25/2)</f>
        <v>-180</v>
      </c>
      <c r="G61" s="16">
        <f>-(IF(PARAM!$C$8="H",PARAM!$E$6,PARAM!$E$7)/2+PARAM!$F$25/2)</f>
        <v>-180</v>
      </c>
      <c r="H61" s="16">
        <f>-PARAM!$E$25/2</f>
        <v>-10</v>
      </c>
      <c r="I61" s="16" t="s">
        <v>114</v>
      </c>
      <c r="J61" s="16">
        <v>0</v>
      </c>
      <c r="K61" s="16">
        <v>0</v>
      </c>
      <c r="L61" s="16">
        <v>0</v>
      </c>
      <c r="M61" s="16">
        <f>IF(PARAM!$C$8="H",PARAM!$D$6,PARAM!$D$7)+PARAM!$F$25</f>
        <v>360</v>
      </c>
      <c r="N61" s="16">
        <v>0</v>
      </c>
      <c r="O61" s="16">
        <v>0</v>
      </c>
      <c r="P61" s="16">
        <v>1</v>
      </c>
      <c r="Q61" s="16">
        <v>0</v>
      </c>
      <c r="R61" s="16">
        <f>IF(PARAM!$C$8="H",PARAM!$E$6,PARAM!$E$7)+PARAM!$F$25</f>
        <v>360</v>
      </c>
      <c r="S61" s="16">
        <v>0</v>
      </c>
      <c r="T61" s="16">
        <v>1</v>
      </c>
    </row>
    <row r="62" spans="2:6" x14ac:dyDescent="0.25">
      <c r="B62" s="15" t="s">
        <v>112</v>
      </c>
      <c r="C62" s="16" t="s">
        <v>134</v>
      </c>
      <c r="D62" s="16" t="s">
        <v>115</v>
      </c>
      <c r="E62" s="16" t="s">
        <v>136</v>
      </c>
      <c r="F62" s="16" t="s">
        <v>87</v>
      </c>
    </row>
    <row r="63" spans="2:9" x14ac:dyDescent="0.25">
      <c r="B63" s="15" t="s">
        <v>112</v>
      </c>
      <c r="C63" s="16" t="s">
        <v>137</v>
      </c>
      <c r="D63" s="16" t="str">
        <f>IF(PARAM!$E$9&gt;0,"pl.sp","")</f>
        <v>pl.sp</v>
      </c>
      <c r="E63" s="16" t="s">
        <v>87</v>
      </c>
      <c r="F63" s="16">
        <v>0</v>
      </c>
      <c r="G63" s="16">
        <v>0</v>
      </c>
      <c r="H63" s="16">
        <v>0</v>
      </c>
      <c r="I63" s="16" t="s">
        <v>114</v>
      </c>
    </row>
    <row r="64" spans="2:9" x14ac:dyDescent="0.25">
      <c r="B64" s="15" t="s">
        <v>112</v>
      </c>
      <c r="C64" s="16" t="s">
        <v>137</v>
      </c>
      <c r="D64" s="16" t="str">
        <f>IF(PARAM!$E$9&gt;0,"pl.sp","")</f>
        <v>pl.sp</v>
      </c>
      <c r="E64" s="16" t="s">
        <v>87</v>
      </c>
      <c r="F64" s="16">
        <v>0</v>
      </c>
      <c r="G64" s="16">
        <v>0</v>
      </c>
      <c r="H64" s="16">
        <f>PARAM!$E$25</f>
        <v>20</v>
      </c>
      <c r="I64" s="16" t="s">
        <v>114</v>
      </c>
    </row>
    <row r="65" spans="2:20" x14ac:dyDescent="0.25">
      <c r="B65" s="15" t="s">
        <v>112</v>
      </c>
      <c r="C65" s="16" t="s">
        <v>137</v>
      </c>
      <c r="D65" s="16" t="str">
        <f>IF(PARAM!$E$9&gt;0,"bo.sp","")</f>
        <v>bo.sp</v>
      </c>
      <c r="E65" s="16"/>
      <c r="F65" s="16">
        <f>-(IF(PARAM!$C$8="H",PARAM!$D$6,PARAM!$D$7)/2+PARAM!$F$25/2)</f>
        <v>-180</v>
      </c>
      <c r="G65" s="16">
        <f>-(IF(PARAM!$C$8="H",PARAM!$E$6,PARAM!$E$7)/2+PARAM!$F$25/2)</f>
        <v>-180</v>
      </c>
      <c r="H65" s="16">
        <f>-PARAM!$E$25/2</f>
        <v>-10</v>
      </c>
      <c r="I65" s="16" t="s">
        <v>114</v>
      </c>
      <c r="J65" s="16">
        <v>0</v>
      </c>
      <c r="K65" s="16">
        <v>0</v>
      </c>
      <c r="L65" s="16">
        <v>0</v>
      </c>
      <c r="M65" s="16">
        <f>IF(PARAM!$C$8="H",PARAM!$D$6,PARAM!$D$7)+PARAM!$F$25</f>
        <v>360</v>
      </c>
      <c r="N65" s="16">
        <v>0</v>
      </c>
      <c r="O65" s="16">
        <v>0</v>
      </c>
      <c r="P65" s="16">
        <v>1</v>
      </c>
      <c r="Q65" s="16">
        <v>0</v>
      </c>
      <c r="R65" s="16">
        <f>IF(PARAM!$C$8="H",PARAM!$E$6,PARAM!$E$7)+PARAM!$F$25</f>
        <v>360</v>
      </c>
      <c r="S65" s="16">
        <v>0</v>
      </c>
      <c r="T65" s="16">
        <v>1</v>
      </c>
    </row>
    <row r="66" spans="2:6" x14ac:dyDescent="0.25">
      <c r="B66" s="15" t="s">
        <v>112</v>
      </c>
      <c r="C66" s="16" t="s">
        <v>137</v>
      </c>
      <c r="D66" s="16" t="s">
        <v>115</v>
      </c>
      <c r="E66" s="16" t="s">
        <v>136</v>
      </c>
      <c r="F66" s="16" t="s">
        <v>87</v>
      </c>
    </row>
    <row r="67" spans="1:1" x14ac:dyDescent="0.25">
      <c r="A67" s="10" t="s">
        <v>82</v>
      </c>
    </row>
    <row r="68" spans="1:1" x14ac:dyDescent="0.25">
      <c r="A68" s="10" t="s">
        <v>138</v>
      </c>
    </row>
    <row r="69" spans="1:8" x14ac:dyDescent="0.25">
      <c r="A69" s="10" t="s">
        <v>139</v>
      </c>
      <c r="B69" s="15" t="s">
        <v>140</v>
      </c>
      <c r="C69" s="16" t="s">
        <v>141</v>
      </c>
      <c r="D69" s="16" t="s">
        <v>113</v>
      </c>
      <c r="E69" s="16" t="s">
        <v>142</v>
      </c>
      <c r="F69" s="16">
        <v>0</v>
      </c>
      <c r="G69" s="16">
        <v>0</v>
      </c>
      <c r="H69" s="16">
        <f>-PARAM!$C$9/2</f>
        <v>-700</v>
      </c>
    </row>
    <row r="70" spans="1:8" x14ac:dyDescent="0.25">
      <c r="A70" s="10" t="s">
        <v>143</v>
      </c>
      <c r="B70" s="15" t="s">
        <v>140</v>
      </c>
      <c r="C70" s="16" t="s">
        <v>141</v>
      </c>
      <c r="D70" s="16" t="s">
        <v>116</v>
      </c>
      <c r="E70" s="16" t="s">
        <v>142</v>
      </c>
      <c r="F70" s="16">
        <v>0</v>
      </c>
      <c r="G70" s="16">
        <v>0</v>
      </c>
      <c r="H70" s="16">
        <f>PARAM!$C$9/2+2*PARAM!$E$25</f>
        <v>740</v>
      </c>
    </row>
    <row r="71" spans="1:8" x14ac:dyDescent="0.25">
      <c r="A71" s="10" t="s">
        <v>144</v>
      </c>
      <c r="B71" s="15" t="s">
        <v>140</v>
      </c>
      <c r="C71" s="16" t="s">
        <v>141</v>
      </c>
      <c r="D71" s="16" t="s">
        <v>117</v>
      </c>
      <c r="E71" s="16" t="s">
        <v>142</v>
      </c>
      <c r="F71" s="16">
        <v>0</v>
      </c>
      <c r="G71" s="16">
        <v>0</v>
      </c>
      <c r="H71" s="16">
        <f>-(PARAM!$C$9/2+2*PARAM!$E$25+MAX(1,PARAM!$E$9))</f>
        <v>-1440</v>
      </c>
    </row>
    <row r="72" spans="1:8" x14ac:dyDescent="0.25">
      <c r="A72" s="10" t="s">
        <v>145</v>
      </c>
      <c r="B72" s="15" t="s">
        <v>140</v>
      </c>
      <c r="C72" s="16" t="s">
        <v>141</v>
      </c>
      <c r="D72" s="16" t="s">
        <v>134</v>
      </c>
      <c r="E72" s="16" t="s">
        <v>142</v>
      </c>
      <c r="F72" s="16">
        <v>0</v>
      </c>
      <c r="G72" s="16">
        <v>0</v>
      </c>
      <c r="H72" s="16">
        <f>PARAM!$C$9/2+PARAM!$E$25/2</f>
        <v>710</v>
      </c>
    </row>
    <row r="73" spans="2:8" x14ac:dyDescent="0.25">
      <c r="B73" s="15" t="s">
        <v>140</v>
      </c>
      <c r="C73" s="16" t="s">
        <v>141</v>
      </c>
      <c r="D73" s="16" t="s">
        <v>137</v>
      </c>
      <c r="E73" s="16" t="s">
        <v>142</v>
      </c>
      <c r="F73" s="16">
        <v>0</v>
      </c>
      <c r="G73" s="16">
        <v>0</v>
      </c>
      <c r="H73" s="16">
        <f>-(PARAM!$C$9/2+1.5*PARAM!$E$25)</f>
        <v>-730</v>
      </c>
    </row>
    <row r="74" spans="1:8" x14ac:dyDescent="0.25">
      <c r="A74" s="10" t="s">
        <v>146</v>
      </c>
      <c r="B74" s="15" t="s">
        <v>140</v>
      </c>
      <c r="C74" s="16" t="s">
        <v>141</v>
      </c>
      <c r="D74" s="16" t="s">
        <v>120</v>
      </c>
      <c r="E74" s="16" t="s">
        <v>142</v>
      </c>
      <c r="F74" s="16">
        <f>IF(PARAM!$C$8="H",PARAM!$D$6/2,PARAM!$D$7/2)+IF(PARAM!$C$17="end plate",PARAM!$E$23,0)</f>
        <v>162</v>
      </c>
      <c r="G74" s="16">
        <v>0</v>
      </c>
      <c r="H74" s="16">
        <v>0</v>
      </c>
    </row>
    <row r="75" spans="2:8" x14ac:dyDescent="0.25">
      <c r="B75" s="15" t="s">
        <v>140</v>
      </c>
      <c r="C75" s="16" t="s">
        <v>141</v>
      </c>
      <c r="D75" s="16" t="s">
        <v>127</v>
      </c>
      <c r="E75" s="16" t="s">
        <v>142</v>
      </c>
      <c r="F75" s="16">
        <f>-(IF(PARAM!$C$8="H",PARAM!$D$6/2,PARAM!$D$7/2)+IF(PARAM!$E$17="end plate",PARAM!$E$23,0))</f>
        <v>-150</v>
      </c>
      <c r="G75" s="16">
        <v>0</v>
      </c>
      <c r="H75" s="16">
        <v>0</v>
      </c>
    </row>
    <row r="76" spans="2:8" x14ac:dyDescent="0.25">
      <c r="B76" s="15" t="s">
        <v>140</v>
      </c>
      <c r="C76" s="16" t="s">
        <v>141</v>
      </c>
      <c r="D76" s="16" t="s">
        <v>129</v>
      </c>
      <c r="E76" s="16" t="s">
        <v>142</v>
      </c>
      <c r="F76" s="16">
        <v>0</v>
      </c>
      <c r="G76" s="16">
        <f>IF(PARAM!$C$8="H",PARAM!$F$6/2,PARAM!$E$7/2)+IF(PARAM!$G$17="end plate",PARAM!$E$23,0)</f>
        <v>5</v>
      </c>
      <c r="H76" s="16">
        <v>0</v>
      </c>
    </row>
    <row r="77" spans="2:8" x14ac:dyDescent="0.25">
      <c r="B77" s="15" t="s">
        <v>140</v>
      </c>
      <c r="C77" s="16" t="s">
        <v>141</v>
      </c>
      <c r="D77" s="16" t="s">
        <v>131</v>
      </c>
      <c r="E77" s="16" t="s">
        <v>142</v>
      </c>
      <c r="F77" s="16">
        <v>0</v>
      </c>
      <c r="G77" s="16">
        <f>-(IF(PARAM!$C$8="H",PARAM!$F$6/2,PARAM!$E$7/2)+IF(PARAM!$I$17="end plate",PARAM!$E$23,0))</f>
        <v>-17</v>
      </c>
      <c r="H77" s="16">
        <v>0</v>
      </c>
    </row>
    <row r="78" spans="1:1" x14ac:dyDescent="0.25">
      <c r="A78" s="10" t="s">
        <v>82</v>
      </c>
    </row>
    <row r="79" spans="2:2" x14ac:dyDescent="0.25">
      <c r="B79" s="1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7" x14ac:dyDescent="0.25">
      <c r="A1" s="17" t="s">
        <v>4</v>
      </c>
      <c r="B1" s="18" t="s">
        <v>5</v>
      </c>
      <c r="C1" s="18" t="s">
        <v>6</v>
      </c>
      <c r="D1" s="18" t="s">
        <v>29</v>
      </c>
      <c r="E1" s="18" t="s">
        <v>8</v>
      </c>
      <c r="F1" s="18" t="s">
        <v>9</v>
      </c>
      <c r="G1" s="18" t="s">
        <v>10</v>
      </c>
    </row>
    <row r="2" spans="1:7" x14ac:dyDescent="0.25">
      <c r="A2" s="19" t="s">
        <v>148</v>
      </c>
      <c r="B2" s="20">
        <v>100</v>
      </c>
      <c r="C2" s="20">
        <v>100</v>
      </c>
      <c r="D2" s="20">
        <v>6</v>
      </c>
      <c r="E2" s="20">
        <v>8</v>
      </c>
      <c r="F2" s="20">
        <v>10</v>
      </c>
      <c r="G2" s="20">
        <v>17.2</v>
      </c>
    </row>
    <row r="3" spans="1:7" x14ac:dyDescent="0.25">
      <c r="A3" s="21" t="s">
        <v>149</v>
      </c>
      <c r="B3" s="22">
        <v>125</v>
      </c>
      <c r="C3" s="22">
        <v>125</v>
      </c>
      <c r="D3" s="22">
        <v>6.5</v>
      </c>
      <c r="E3" s="22">
        <v>9</v>
      </c>
      <c r="F3" s="22">
        <v>10</v>
      </c>
      <c r="G3" s="22">
        <v>23.8</v>
      </c>
    </row>
    <row r="4" spans="1:7" x14ac:dyDescent="0.25">
      <c r="A4" s="19" t="s">
        <v>150</v>
      </c>
      <c r="B4" s="20">
        <v>150</v>
      </c>
      <c r="C4" s="20">
        <v>75</v>
      </c>
      <c r="D4" s="20">
        <v>5</v>
      </c>
      <c r="E4" s="20">
        <v>7</v>
      </c>
      <c r="F4" s="20">
        <v>8</v>
      </c>
      <c r="G4" s="20">
        <v>14</v>
      </c>
    </row>
    <row r="5" spans="1:7" x14ac:dyDescent="0.25">
      <c r="A5" s="21" t="s">
        <v>151</v>
      </c>
      <c r="B5" s="22">
        <v>148</v>
      </c>
      <c r="C5" s="22">
        <v>100</v>
      </c>
      <c r="D5" s="22">
        <v>6</v>
      </c>
      <c r="E5" s="22">
        <v>9</v>
      </c>
      <c r="F5" s="22">
        <v>11</v>
      </c>
      <c r="G5" s="22">
        <v>21.1</v>
      </c>
    </row>
    <row r="6" spans="1:7" x14ac:dyDescent="0.25">
      <c r="A6" s="19" t="s">
        <v>152</v>
      </c>
      <c r="B6" s="20">
        <v>150</v>
      </c>
      <c r="C6" s="20">
        <v>150</v>
      </c>
      <c r="D6" s="20">
        <v>7</v>
      </c>
      <c r="E6" s="20">
        <v>10</v>
      </c>
      <c r="F6" s="20">
        <v>11</v>
      </c>
      <c r="G6" s="20">
        <v>31.5</v>
      </c>
    </row>
    <row r="7" spans="1:7" x14ac:dyDescent="0.25">
      <c r="A7" s="21" t="s">
        <v>153</v>
      </c>
      <c r="B7" s="22">
        <v>198</v>
      </c>
      <c r="C7" s="22">
        <v>99</v>
      </c>
      <c r="D7" s="22">
        <v>4.5</v>
      </c>
      <c r="E7" s="22">
        <v>7</v>
      </c>
      <c r="F7" s="22">
        <v>11</v>
      </c>
      <c r="G7" s="22">
        <v>18.2</v>
      </c>
    </row>
    <row r="8" spans="1:7" x14ac:dyDescent="0.25">
      <c r="A8" s="19" t="s">
        <v>154</v>
      </c>
      <c r="B8" s="20">
        <v>200</v>
      </c>
      <c r="C8" s="20">
        <v>100</v>
      </c>
      <c r="D8" s="20">
        <v>5.5</v>
      </c>
      <c r="E8" s="20">
        <v>8</v>
      </c>
      <c r="F8" s="20">
        <v>11</v>
      </c>
      <c r="G8" s="20">
        <v>21.3</v>
      </c>
    </row>
    <row r="9" spans="1:7" x14ac:dyDescent="0.25">
      <c r="A9" s="21" t="s">
        <v>155</v>
      </c>
      <c r="B9" s="22">
        <v>194</v>
      </c>
      <c r="C9" s="22">
        <v>150</v>
      </c>
      <c r="D9" s="22">
        <v>6</v>
      </c>
      <c r="E9" s="22">
        <v>9</v>
      </c>
      <c r="F9" s="22">
        <v>13</v>
      </c>
      <c r="G9" s="22">
        <v>30.6</v>
      </c>
    </row>
    <row r="10" spans="1:7" x14ac:dyDescent="0.25">
      <c r="A10" s="19" t="s">
        <v>156</v>
      </c>
      <c r="B10" s="20">
        <v>200</v>
      </c>
      <c r="C10" s="20">
        <v>200</v>
      </c>
      <c r="D10" s="20">
        <v>8</v>
      </c>
      <c r="E10" s="20">
        <v>12</v>
      </c>
      <c r="F10" s="20">
        <v>13</v>
      </c>
      <c r="G10" s="20">
        <v>49.9</v>
      </c>
    </row>
    <row r="11" spans="1:7" x14ac:dyDescent="0.25">
      <c r="A11" s="21" t="s">
        <v>157</v>
      </c>
      <c r="B11" s="22">
        <v>200</v>
      </c>
      <c r="C11" s="22">
        <v>204</v>
      </c>
      <c r="D11" s="22">
        <v>12</v>
      </c>
      <c r="E11" s="22">
        <v>12</v>
      </c>
      <c r="F11" s="22">
        <v>13</v>
      </c>
      <c r="G11" s="22">
        <v>56.2</v>
      </c>
    </row>
    <row r="12" spans="1:7" x14ac:dyDescent="0.25">
      <c r="A12" s="19" t="s">
        <v>158</v>
      </c>
      <c r="B12" s="20">
        <v>248</v>
      </c>
      <c r="C12" s="20">
        <v>124</v>
      </c>
      <c r="D12" s="20">
        <v>5</v>
      </c>
      <c r="E12" s="20">
        <v>8</v>
      </c>
      <c r="F12" s="20">
        <v>12</v>
      </c>
      <c r="G12" s="20">
        <v>25.7</v>
      </c>
    </row>
    <row r="13" spans="1:7" x14ac:dyDescent="0.25">
      <c r="A13" s="21" t="s">
        <v>159</v>
      </c>
      <c r="B13" s="22">
        <v>250</v>
      </c>
      <c r="C13" s="22">
        <v>125</v>
      </c>
      <c r="D13" s="22">
        <v>6</v>
      </c>
      <c r="E13" s="22">
        <v>9</v>
      </c>
      <c r="F13" s="22">
        <v>12</v>
      </c>
      <c r="G13" s="22">
        <v>29.6</v>
      </c>
    </row>
    <row r="14" spans="1:7" x14ac:dyDescent="0.25">
      <c r="A14" s="19" t="s">
        <v>160</v>
      </c>
      <c r="B14" s="20">
        <v>244</v>
      </c>
      <c r="C14" s="20">
        <v>175</v>
      </c>
      <c r="D14" s="20">
        <v>7</v>
      </c>
      <c r="E14" s="20">
        <v>11</v>
      </c>
      <c r="F14" s="20">
        <v>16</v>
      </c>
      <c r="G14" s="20">
        <v>44.1</v>
      </c>
    </row>
    <row r="15" spans="1:7" x14ac:dyDescent="0.25">
      <c r="A15" s="21" t="s">
        <v>161</v>
      </c>
      <c r="B15" s="22">
        <v>250</v>
      </c>
      <c r="C15" s="22">
        <v>250</v>
      </c>
      <c r="D15" s="22">
        <v>9</v>
      </c>
      <c r="E15" s="22">
        <v>14</v>
      </c>
      <c r="F15" s="22">
        <v>16</v>
      </c>
      <c r="G15" s="22">
        <v>72.4</v>
      </c>
    </row>
    <row r="16" spans="1:7" x14ac:dyDescent="0.25">
      <c r="A16" s="19" t="s">
        <v>162</v>
      </c>
      <c r="B16" s="20">
        <v>250</v>
      </c>
      <c r="C16" s="20">
        <v>255</v>
      </c>
      <c r="D16" s="20">
        <v>14</v>
      </c>
      <c r="E16" s="20">
        <v>14</v>
      </c>
      <c r="F16" s="20">
        <v>16</v>
      </c>
      <c r="G16" s="20">
        <v>82.2</v>
      </c>
    </row>
    <row r="17" spans="1:7" x14ac:dyDescent="0.25">
      <c r="A17" s="21" t="s">
        <v>163</v>
      </c>
      <c r="B17" s="22">
        <v>298</v>
      </c>
      <c r="C17" s="22">
        <v>149</v>
      </c>
      <c r="D17" s="22">
        <v>5.5</v>
      </c>
      <c r="E17" s="22">
        <v>8</v>
      </c>
      <c r="F17" s="22">
        <v>13</v>
      </c>
      <c r="G17" s="22">
        <v>32</v>
      </c>
    </row>
    <row r="18" spans="1:7" x14ac:dyDescent="0.25">
      <c r="A18" s="19" t="s">
        <v>32</v>
      </c>
      <c r="B18" s="20">
        <v>300</v>
      </c>
      <c r="C18" s="20">
        <v>150</v>
      </c>
      <c r="D18" s="20">
        <v>6.5</v>
      </c>
      <c r="E18" s="20">
        <v>9</v>
      </c>
      <c r="F18" s="20">
        <v>13</v>
      </c>
      <c r="G18" s="20">
        <v>36.7</v>
      </c>
    </row>
    <row r="19" spans="1:7" x14ac:dyDescent="0.25">
      <c r="A19" s="21" t="s">
        <v>164</v>
      </c>
      <c r="B19" s="22">
        <v>294</v>
      </c>
      <c r="C19" s="22">
        <v>200</v>
      </c>
      <c r="D19" s="22">
        <v>8</v>
      </c>
      <c r="E19" s="22">
        <v>12</v>
      </c>
      <c r="F19" s="22">
        <v>18</v>
      </c>
      <c r="G19" s="22">
        <v>56.8</v>
      </c>
    </row>
    <row r="20" spans="1:7" x14ac:dyDescent="0.25">
      <c r="A20" s="19" t="s">
        <v>165</v>
      </c>
      <c r="B20" s="20">
        <v>294</v>
      </c>
      <c r="C20" s="20">
        <v>302</v>
      </c>
      <c r="D20" s="20">
        <v>12</v>
      </c>
      <c r="E20" s="20">
        <v>12</v>
      </c>
      <c r="F20" s="20">
        <v>18</v>
      </c>
      <c r="G20" s="20">
        <v>84.5</v>
      </c>
    </row>
    <row r="21" spans="1:7" x14ac:dyDescent="0.25">
      <c r="A21" s="21" t="s">
        <v>12</v>
      </c>
      <c r="B21" s="22">
        <v>300</v>
      </c>
      <c r="C21" s="22">
        <v>300</v>
      </c>
      <c r="D21" s="22">
        <v>10</v>
      </c>
      <c r="E21" s="22">
        <v>15</v>
      </c>
      <c r="F21" s="22">
        <v>18</v>
      </c>
      <c r="G21" s="22">
        <v>94</v>
      </c>
    </row>
    <row r="22" spans="1:7" x14ac:dyDescent="0.25">
      <c r="A22" s="19" t="s">
        <v>166</v>
      </c>
      <c r="B22" s="20">
        <v>300</v>
      </c>
      <c r="C22" s="20">
        <v>305</v>
      </c>
      <c r="D22" s="20">
        <v>15</v>
      </c>
      <c r="E22" s="20">
        <v>15</v>
      </c>
      <c r="F22" s="20">
        <v>18</v>
      </c>
      <c r="G22" s="20">
        <v>106</v>
      </c>
    </row>
    <row r="23" spans="1:7" x14ac:dyDescent="0.25">
      <c r="A23" s="21" t="s">
        <v>167</v>
      </c>
      <c r="B23" s="22">
        <v>346</v>
      </c>
      <c r="C23" s="22">
        <v>174</v>
      </c>
      <c r="D23" s="22">
        <v>6</v>
      </c>
      <c r="E23" s="22">
        <v>9</v>
      </c>
      <c r="F23" s="22">
        <v>14</v>
      </c>
      <c r="G23" s="22">
        <v>41.4</v>
      </c>
    </row>
    <row r="24" spans="1:7" x14ac:dyDescent="0.25">
      <c r="A24" s="19" t="s">
        <v>168</v>
      </c>
      <c r="B24" s="20">
        <v>350</v>
      </c>
      <c r="C24" s="20">
        <v>175</v>
      </c>
      <c r="D24" s="20">
        <v>7</v>
      </c>
      <c r="E24" s="20">
        <v>11</v>
      </c>
      <c r="F24" s="20">
        <v>14</v>
      </c>
      <c r="G24" s="20">
        <v>49.6</v>
      </c>
    </row>
    <row r="25" spans="1:7" x14ac:dyDescent="0.25">
      <c r="A25" s="21" t="s">
        <v>169</v>
      </c>
      <c r="B25" s="22">
        <v>340</v>
      </c>
      <c r="C25" s="22">
        <v>250</v>
      </c>
      <c r="D25" s="22">
        <v>9</v>
      </c>
      <c r="E25" s="22">
        <v>14</v>
      </c>
      <c r="F25" s="22">
        <v>20</v>
      </c>
      <c r="G25" s="22">
        <v>79.7</v>
      </c>
    </row>
    <row r="26" spans="1:7" x14ac:dyDescent="0.25">
      <c r="A26" s="19" t="s">
        <v>170</v>
      </c>
      <c r="B26" s="20">
        <v>344</v>
      </c>
      <c r="C26" s="20">
        <v>348</v>
      </c>
      <c r="D26" s="20">
        <v>10</v>
      </c>
      <c r="E26" s="20">
        <v>16</v>
      </c>
      <c r="F26" s="20">
        <v>20</v>
      </c>
      <c r="G26" s="20">
        <v>115</v>
      </c>
    </row>
    <row r="27" spans="1:7" x14ac:dyDescent="0.25">
      <c r="A27" s="21" t="s">
        <v>171</v>
      </c>
      <c r="B27" s="22">
        <v>350</v>
      </c>
      <c r="C27" s="22">
        <v>350</v>
      </c>
      <c r="D27" s="22">
        <v>12</v>
      </c>
      <c r="E27" s="22">
        <v>19</v>
      </c>
      <c r="F27" s="22">
        <v>20</v>
      </c>
      <c r="G27" s="22">
        <v>137</v>
      </c>
    </row>
    <row r="28" spans="1:7" x14ac:dyDescent="0.25">
      <c r="A28" s="19" t="s">
        <v>172</v>
      </c>
      <c r="B28" s="20">
        <v>396</v>
      </c>
      <c r="C28" s="20">
        <v>199</v>
      </c>
      <c r="D28" s="20">
        <v>7</v>
      </c>
      <c r="E28" s="20">
        <v>11</v>
      </c>
      <c r="F28" s="20">
        <v>16</v>
      </c>
      <c r="G28" s="20">
        <v>56.6</v>
      </c>
    </row>
    <row r="29" spans="1:7" x14ac:dyDescent="0.25">
      <c r="A29" s="21" t="s">
        <v>173</v>
      </c>
      <c r="B29" s="22">
        <v>400</v>
      </c>
      <c r="C29" s="22">
        <v>200</v>
      </c>
      <c r="D29" s="22">
        <v>8</v>
      </c>
      <c r="E29" s="22">
        <v>13</v>
      </c>
      <c r="F29" s="22">
        <v>16</v>
      </c>
      <c r="G29" s="22">
        <v>66</v>
      </c>
    </row>
    <row r="30" spans="1:7" x14ac:dyDescent="0.25">
      <c r="A30" s="19" t="s">
        <v>174</v>
      </c>
      <c r="B30" s="20">
        <v>390</v>
      </c>
      <c r="C30" s="20">
        <v>300</v>
      </c>
      <c r="D30" s="20">
        <v>10</v>
      </c>
      <c r="E30" s="20">
        <v>16</v>
      </c>
      <c r="F30" s="20">
        <v>22</v>
      </c>
      <c r="G30" s="20">
        <v>107</v>
      </c>
    </row>
    <row r="31" spans="1:7" x14ac:dyDescent="0.25">
      <c r="A31" s="21" t="s">
        <v>175</v>
      </c>
      <c r="B31" s="22">
        <v>388</v>
      </c>
      <c r="C31" s="22">
        <v>402</v>
      </c>
      <c r="D31" s="22">
        <v>15</v>
      </c>
      <c r="E31" s="22">
        <v>15</v>
      </c>
      <c r="F31" s="22">
        <v>22</v>
      </c>
      <c r="G31" s="22">
        <v>140</v>
      </c>
    </row>
    <row r="32" spans="1:7" x14ac:dyDescent="0.25">
      <c r="A32" s="19" t="s">
        <v>176</v>
      </c>
      <c r="B32" s="20">
        <v>394</v>
      </c>
      <c r="C32" s="20">
        <v>398</v>
      </c>
      <c r="D32" s="20">
        <v>11</v>
      </c>
      <c r="E32" s="20">
        <v>18</v>
      </c>
      <c r="F32" s="20">
        <v>22</v>
      </c>
      <c r="G32" s="20">
        <v>147</v>
      </c>
    </row>
    <row r="33" spans="1:7" x14ac:dyDescent="0.25">
      <c r="A33" s="21" t="s">
        <v>177</v>
      </c>
      <c r="B33" s="22">
        <v>400</v>
      </c>
      <c r="C33" s="22">
        <v>400</v>
      </c>
      <c r="D33" s="22">
        <v>13</v>
      </c>
      <c r="E33" s="22">
        <v>21</v>
      </c>
      <c r="F33" s="22">
        <v>22</v>
      </c>
      <c r="G33" s="22">
        <v>172</v>
      </c>
    </row>
    <row r="34" spans="1:7" x14ac:dyDescent="0.25">
      <c r="A34" s="19" t="s">
        <v>178</v>
      </c>
      <c r="B34" s="20">
        <v>400</v>
      </c>
      <c r="C34" s="20">
        <v>408</v>
      </c>
      <c r="D34" s="20">
        <v>21</v>
      </c>
      <c r="E34" s="20">
        <v>21</v>
      </c>
      <c r="F34" s="20">
        <v>22</v>
      </c>
      <c r="G34" s="20">
        <v>197</v>
      </c>
    </row>
    <row r="35" spans="1:7" x14ac:dyDescent="0.25">
      <c r="A35" s="21" t="s">
        <v>179</v>
      </c>
      <c r="B35" s="22">
        <v>414</v>
      </c>
      <c r="C35" s="22">
        <v>405</v>
      </c>
      <c r="D35" s="22">
        <v>18</v>
      </c>
      <c r="E35" s="22">
        <v>28</v>
      </c>
      <c r="F35" s="22">
        <v>22</v>
      </c>
      <c r="G35" s="22">
        <v>232</v>
      </c>
    </row>
    <row r="36" spans="1:7" x14ac:dyDescent="0.25">
      <c r="A36" s="19" t="s">
        <v>180</v>
      </c>
      <c r="B36" s="20">
        <v>428</v>
      </c>
      <c r="C36" s="20">
        <v>407</v>
      </c>
      <c r="D36" s="20">
        <v>20</v>
      </c>
      <c r="E36" s="20">
        <v>35</v>
      </c>
      <c r="F36" s="20">
        <v>22</v>
      </c>
      <c r="G36" s="20">
        <v>283</v>
      </c>
    </row>
    <row r="37" spans="1:7" x14ac:dyDescent="0.25">
      <c r="A37" s="21" t="s">
        <v>181</v>
      </c>
      <c r="B37" s="22">
        <v>458</v>
      </c>
      <c r="C37" s="22">
        <v>417</v>
      </c>
      <c r="D37" s="22">
        <v>30</v>
      </c>
      <c r="E37" s="22">
        <v>50</v>
      </c>
      <c r="F37" s="22">
        <v>22</v>
      </c>
      <c r="G37" s="22">
        <v>415</v>
      </c>
    </row>
    <row r="38" spans="1:7" x14ac:dyDescent="0.25">
      <c r="A38" s="19" t="s">
        <v>182</v>
      </c>
      <c r="B38" s="20">
        <v>498</v>
      </c>
      <c r="C38" s="20">
        <v>432</v>
      </c>
      <c r="D38" s="20">
        <v>45</v>
      </c>
      <c r="E38" s="20">
        <v>70</v>
      </c>
      <c r="F38" s="20">
        <v>22</v>
      </c>
      <c r="G38" s="20">
        <v>605</v>
      </c>
    </row>
    <row r="39" spans="1:7" x14ac:dyDescent="0.25">
      <c r="A39" s="21" t="s">
        <v>183</v>
      </c>
      <c r="B39" s="22">
        <v>446</v>
      </c>
      <c r="C39" s="22">
        <v>199</v>
      </c>
      <c r="D39" s="22">
        <v>8</v>
      </c>
      <c r="E39" s="22">
        <v>12</v>
      </c>
      <c r="F39" s="22">
        <v>18</v>
      </c>
      <c r="G39" s="22">
        <v>66.2</v>
      </c>
    </row>
    <row r="40" spans="1:7" x14ac:dyDescent="0.25">
      <c r="A40" s="19" t="s">
        <v>184</v>
      </c>
      <c r="B40" s="20">
        <v>450</v>
      </c>
      <c r="C40" s="20">
        <v>200</v>
      </c>
      <c r="D40" s="20">
        <v>9</v>
      </c>
      <c r="E40" s="20">
        <v>14</v>
      </c>
      <c r="F40" s="20">
        <v>18</v>
      </c>
      <c r="G40" s="20">
        <v>76</v>
      </c>
    </row>
    <row r="41" spans="1:7" x14ac:dyDescent="0.25">
      <c r="A41" s="21" t="s">
        <v>185</v>
      </c>
      <c r="B41" s="22">
        <v>440</v>
      </c>
      <c r="C41" s="22">
        <v>300</v>
      </c>
      <c r="D41" s="22">
        <v>11</v>
      </c>
      <c r="E41" s="22">
        <v>18</v>
      </c>
      <c r="F41" s="22">
        <v>24</v>
      </c>
      <c r="G41" s="22">
        <v>124</v>
      </c>
    </row>
    <row r="42" spans="1:7" x14ac:dyDescent="0.25">
      <c r="A42" s="19" t="s">
        <v>186</v>
      </c>
      <c r="B42" s="20">
        <v>440</v>
      </c>
      <c r="C42" s="20">
        <v>300</v>
      </c>
      <c r="D42" s="20">
        <v>11</v>
      </c>
      <c r="E42" s="20">
        <v>18</v>
      </c>
      <c r="F42" s="20">
        <v>13</v>
      </c>
      <c r="G42" s="20">
        <v>121</v>
      </c>
    </row>
    <row r="43" spans="1:7" x14ac:dyDescent="0.25">
      <c r="A43" s="21" t="s">
        <v>187</v>
      </c>
      <c r="B43" s="22">
        <v>496</v>
      </c>
      <c r="C43" s="22">
        <v>199</v>
      </c>
      <c r="D43" s="22">
        <v>9</v>
      </c>
      <c r="E43" s="22">
        <v>14</v>
      </c>
      <c r="F43" s="22">
        <v>13</v>
      </c>
      <c r="G43" s="22">
        <v>77.9</v>
      </c>
    </row>
    <row r="44" spans="1:7" x14ac:dyDescent="0.25">
      <c r="A44" s="19" t="s">
        <v>188</v>
      </c>
      <c r="B44" s="20">
        <v>500</v>
      </c>
      <c r="C44" s="20">
        <v>200</v>
      </c>
      <c r="D44" s="20">
        <v>10</v>
      </c>
      <c r="E44" s="20">
        <v>16</v>
      </c>
      <c r="F44" s="20">
        <v>13</v>
      </c>
      <c r="G44" s="20">
        <v>88.2</v>
      </c>
    </row>
    <row r="45" spans="1:7" x14ac:dyDescent="0.25">
      <c r="A45" s="21" t="s">
        <v>189</v>
      </c>
      <c r="B45" s="22">
        <v>482</v>
      </c>
      <c r="C45" s="22">
        <v>300</v>
      </c>
      <c r="D45" s="22">
        <v>11</v>
      </c>
      <c r="E45" s="22">
        <v>15</v>
      </c>
      <c r="F45" s="22">
        <v>13</v>
      </c>
      <c r="G45" s="22">
        <v>111</v>
      </c>
    </row>
    <row r="46" spans="1:7" x14ac:dyDescent="0.25">
      <c r="A46" s="19" t="s">
        <v>190</v>
      </c>
      <c r="B46" s="20">
        <v>488</v>
      </c>
      <c r="C46" s="20">
        <v>300</v>
      </c>
      <c r="D46" s="20">
        <v>11</v>
      </c>
      <c r="E46" s="20">
        <v>18</v>
      </c>
      <c r="F46" s="20">
        <v>13</v>
      </c>
      <c r="G46" s="20">
        <v>125</v>
      </c>
    </row>
    <row r="47" spans="1:7" x14ac:dyDescent="0.25">
      <c r="A47" s="21" t="s">
        <v>191</v>
      </c>
      <c r="B47" s="22">
        <v>596</v>
      </c>
      <c r="C47" s="22">
        <v>199</v>
      </c>
      <c r="D47" s="22">
        <v>10</v>
      </c>
      <c r="E47" s="22">
        <v>15</v>
      </c>
      <c r="F47" s="22">
        <v>13</v>
      </c>
      <c r="G47" s="22">
        <v>92.5</v>
      </c>
    </row>
    <row r="48" spans="1:7" x14ac:dyDescent="0.25">
      <c r="A48" s="19" t="s">
        <v>192</v>
      </c>
      <c r="B48" s="20">
        <v>600</v>
      </c>
      <c r="C48" s="20">
        <v>200</v>
      </c>
      <c r="D48" s="20">
        <v>11</v>
      </c>
      <c r="E48" s="20">
        <v>17</v>
      </c>
      <c r="F48" s="20">
        <v>13</v>
      </c>
      <c r="G48" s="20">
        <v>103</v>
      </c>
    </row>
    <row r="49" spans="1:7" x14ac:dyDescent="0.25">
      <c r="A49" s="21" t="s">
        <v>193</v>
      </c>
      <c r="B49" s="22">
        <v>582</v>
      </c>
      <c r="C49" s="22">
        <v>300</v>
      </c>
      <c r="D49" s="22">
        <v>12</v>
      </c>
      <c r="E49" s="22">
        <v>17</v>
      </c>
      <c r="F49" s="22">
        <v>13</v>
      </c>
      <c r="G49" s="22">
        <v>133</v>
      </c>
    </row>
    <row r="50" spans="1:7" x14ac:dyDescent="0.25">
      <c r="A50" s="19" t="s">
        <v>194</v>
      </c>
      <c r="B50" s="20">
        <v>588</v>
      </c>
      <c r="C50" s="20">
        <v>300</v>
      </c>
      <c r="D50" s="20">
        <v>12</v>
      </c>
      <c r="E50" s="20">
        <v>20</v>
      </c>
      <c r="F50" s="20">
        <v>13</v>
      </c>
      <c r="G50" s="20">
        <v>147</v>
      </c>
    </row>
    <row r="51" spans="1:7" x14ac:dyDescent="0.25">
      <c r="A51" s="21" t="s">
        <v>195</v>
      </c>
      <c r="B51" s="22">
        <v>594</v>
      </c>
      <c r="C51" s="22">
        <v>302</v>
      </c>
      <c r="D51" s="22">
        <v>14</v>
      </c>
      <c r="E51" s="22">
        <v>23</v>
      </c>
      <c r="F51" s="22">
        <v>13</v>
      </c>
      <c r="G51" s="22">
        <v>170</v>
      </c>
    </row>
    <row r="52" spans="1:7" x14ac:dyDescent="0.25">
      <c r="A52" s="19" t="s">
        <v>196</v>
      </c>
      <c r="B52" s="20">
        <v>692</v>
      </c>
      <c r="C52" s="20">
        <v>300</v>
      </c>
      <c r="D52" s="20">
        <v>13</v>
      </c>
      <c r="E52" s="20">
        <v>20</v>
      </c>
      <c r="F52" s="20">
        <v>18</v>
      </c>
      <c r="G52" s="20">
        <v>163</v>
      </c>
    </row>
    <row r="53" spans="1:7" x14ac:dyDescent="0.25">
      <c r="A53" s="21" t="s">
        <v>197</v>
      </c>
      <c r="B53" s="22">
        <v>700</v>
      </c>
      <c r="C53" s="22">
        <v>300</v>
      </c>
      <c r="D53" s="22">
        <v>13</v>
      </c>
      <c r="E53" s="22">
        <v>24</v>
      </c>
      <c r="F53" s="22">
        <v>18</v>
      </c>
      <c r="G53" s="22">
        <v>182</v>
      </c>
    </row>
    <row r="54" spans="1:7" x14ac:dyDescent="0.25">
      <c r="A54" s="19" t="s">
        <v>198</v>
      </c>
      <c r="B54" s="20">
        <v>792</v>
      </c>
      <c r="C54" s="20">
        <v>300</v>
      </c>
      <c r="D54" s="20">
        <v>14</v>
      </c>
      <c r="E54" s="20">
        <v>22</v>
      </c>
      <c r="F54" s="20">
        <v>18</v>
      </c>
      <c r="G54" s="20">
        <v>188</v>
      </c>
    </row>
    <row r="55" spans="1:7" x14ac:dyDescent="0.25">
      <c r="A55" s="21" t="s">
        <v>199</v>
      </c>
      <c r="B55" s="22">
        <v>800</v>
      </c>
      <c r="C55" s="22">
        <v>300</v>
      </c>
      <c r="D55" s="22">
        <v>14</v>
      </c>
      <c r="E55" s="22">
        <v>26</v>
      </c>
      <c r="F55" s="22">
        <v>18</v>
      </c>
      <c r="G55" s="22">
        <v>207</v>
      </c>
    </row>
    <row r="56" spans="1:7" x14ac:dyDescent="0.25">
      <c r="A56" s="19" t="s">
        <v>200</v>
      </c>
      <c r="B56" s="20">
        <v>890</v>
      </c>
      <c r="C56" s="20">
        <v>299</v>
      </c>
      <c r="D56" s="20">
        <v>15</v>
      </c>
      <c r="E56" s="20">
        <v>23</v>
      </c>
      <c r="F56" s="20">
        <v>18</v>
      </c>
      <c r="G56" s="20">
        <v>210</v>
      </c>
    </row>
    <row r="57" spans="1:7" x14ac:dyDescent="0.25">
      <c r="A57" s="21" t="s">
        <v>201</v>
      </c>
      <c r="B57" s="22">
        <v>900</v>
      </c>
      <c r="C57" s="22">
        <v>300</v>
      </c>
      <c r="D57" s="22">
        <v>16</v>
      </c>
      <c r="E57" s="22">
        <v>28</v>
      </c>
      <c r="F57" s="22">
        <v>18</v>
      </c>
      <c r="G57" s="22">
        <v>240</v>
      </c>
    </row>
    <row r="58" spans="1:7" x14ac:dyDescent="0.25">
      <c r="A58" s="19" t="s">
        <v>202</v>
      </c>
      <c r="B58" s="20">
        <v>912</v>
      </c>
      <c r="C58" s="20">
        <v>302</v>
      </c>
      <c r="D58" s="20">
        <v>18</v>
      </c>
      <c r="E58" s="20">
        <v>34</v>
      </c>
      <c r="F58" s="20">
        <v>18</v>
      </c>
      <c r="G58" s="20">
        <v>283</v>
      </c>
    </row>
    <row r="59" spans="1:7" x14ac:dyDescent="0.25">
      <c r="A59" s="21" t="s">
        <v>203</v>
      </c>
      <c r="B59" s="22">
        <v>918</v>
      </c>
      <c r="C59" s="22">
        <v>303</v>
      </c>
      <c r="D59" s="22">
        <v>19</v>
      </c>
      <c r="E59" s="22">
        <v>37</v>
      </c>
      <c r="F59" s="22">
        <v>18</v>
      </c>
      <c r="G59" s="22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</vt:lpstr>
      <vt:lpstr>input</vt:lpstr>
      <vt:lpstr>SECT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2026-08-24T01:39:06Z</dcterms:created>
  <dcterms:modified xsi:type="dcterms:W3CDTF">2026-08-24T01:39:06Z</dcterms:modified>
</cp:coreProperties>
</file>