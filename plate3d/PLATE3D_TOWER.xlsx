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0"/>
  </bookViews>
  <sheets>
    <sheet sheetId="1" name="PARAM" state="visible" r:id="rId4"/>
    <sheet sheetId="2" name="input" state="visible" r:id="rId5"/>
  </sheets>
  <calcPr calcId="171027"/>
</workbook>
</file>

<file path=xl/sharedStrings.xml><?xml version="1.0" encoding="utf-8"?>
<sst xmlns="http://schemas.openxmlformats.org/spreadsheetml/2006/main" count="2476" uniqueCount="382">
  <si>
    <t>TOWER CRANE</t>
  </si>
  <si>
    <t>Fill in the blue cells. Everything else follows — the input tab is written from this one, and nothing on it needs touching.</t>
  </si>
  <si>
    <t xml:space="preserve">  1.  MAST</t>
  </si>
  <si>
    <t>how tall the tower stands — panel count is the height</t>
  </si>
  <si>
    <t/>
  </si>
  <si>
    <t>Panel ht</t>
  </si>
  <si>
    <t>Panels</t>
  </si>
  <si>
    <t>Foot lvl</t>
  </si>
  <si>
    <t>A-frame ht</t>
  </si>
  <si>
    <t>Mast top</t>
  </si>
  <si>
    <t>Apex</t>
  </si>
  <si>
    <t>Overall</t>
  </si>
  <si>
    <t>Mast</t>
  </si>
  <si>
    <t>Panels is the only cell that changes the height — the slewing deck, the tower head, the jib, the counter-jib and the hoist all ride on Mast top. Head ht is measured from the deck to the apex, so the A-frame keeps its shape at any tower height.</t>
  </si>
  <si>
    <t>checked for you</t>
  </si>
  <si>
    <t>panels</t>
  </si>
  <si>
    <t>overall</t>
  </si>
  <si>
    <t xml:space="preserve">  2.  JIB AND TAIL</t>
  </si>
  <si>
    <t>how far it reaches — bay count is the radius</t>
  </si>
  <si>
    <t>Bay</t>
  </si>
  <si>
    <t>Bays</t>
  </si>
  <si>
    <t>Root</t>
  </si>
  <si>
    <t>Tip</t>
  </si>
  <si>
    <t>End</t>
  </si>
  <si>
    <t>Radius</t>
  </si>
  <si>
    <t>Bottom chord</t>
  </si>
  <si>
    <t>Jib</t>
  </si>
  <si>
    <t>Counter-jib</t>
  </si>
  <si>
    <t>—</t>
  </si>
  <si>
    <t>Bays is the only cell that changes the reach. The jib tip module, the pendant hang points and the trolley limit are all worked out from End — nothing on the input tab is written to a fixed radius.</t>
  </si>
  <si>
    <t>pendant at</t>
  </si>
  <si>
    <t>radius</t>
  </si>
  <si>
    <t xml:space="preserve">  3.  HOIST</t>
  </si>
  <si>
    <t>where the trolley parks and how far the hook hangs</t>
  </si>
  <si>
    <t>Trolley R</t>
  </si>
  <si>
    <t>Hook drop</t>
  </si>
  <si>
    <t>Trolley lvl</t>
  </si>
  <si>
    <t>Hook lvl</t>
  </si>
  <si>
    <t>Ground clr</t>
  </si>
  <si>
    <t>Hoist</t>
  </si>
  <si>
    <t>Hook drop is the rope, measured down from the trolley — so the hook keeps the same drop when the tower grows, which is what you want when the two are animated together. Both the hook module and the four falls of rope read this one cell.</t>
  </si>
  <si>
    <t>trolley</t>
  </si>
  <si>
    <t>hook</t>
  </si>
  <si>
    <t xml:space="preserve">  4.  JIB SLEW</t>
  </si>
  <si>
    <t>which way the jib points — the mast stays put</t>
  </si>
  <si>
    <t>Jib angle °</t>
  </si>
  <si>
    <t>cos</t>
  </si>
  <si>
    <t>sin</t>
  </si>
  <si>
    <t>Jib points</t>
  </si>
  <si>
    <t>Jib slew</t>
  </si>
  <si>
    <t>The jib turns, and everything that rides with it: counter-jib, counterweight, tower head, cab, machinery deck, pendants, trolley and hook — the slewing deck and all of it above the bearing. The base and the mast do not move. The axis is the mast centre line, so 0 deg is the jib along +X.</t>
  </si>
  <si>
    <t xml:space="preserve">  5.  WHAT THE NUMBERS MEAN</t>
  </si>
  <si>
    <t>the same cells, drawn where they act</t>
  </si>
  <si>
    <t>Elevation — every blue cell, dimensioned where it acts</t>
  </si>
  <si>
    <t>Plan — the jib angle, drawn here at 40°</t>
  </si>
  <si>
    <t>Saddle-jib tower crane. Every teal number is read from the PARAM tab - change it there, not here.</t>
  </si>
  <si>
    <t># SECT</t>
  </si>
  <si>
    <t>id</t>
  </si>
  <si>
    <t>mat</t>
  </si>
  <si>
    <t>length</t>
  </si>
  <si>
    <t>TYPE</t>
  </si>
  <si>
    <t>base.pt</t>
  </si>
  <si>
    <t>v1</t>
  </si>
  <si>
    <t>v2</t>
  </si>
  <si>
    <t>v3</t>
  </si>
  <si>
    <t>v4</t>
  </si>
  <si>
    <t>v5</t>
  </si>
  <si>
    <t>v6</t>
  </si>
  <si>
    <t>v7</t>
  </si>
  <si>
    <t>mast chord. The length here is the panel; the coordinates rule</t>
  </si>
  <si>
    <t>SECT</t>
  </si>
  <si>
    <t>sc.mch</t>
  </si>
  <si>
    <t>SM490</t>
  </si>
  <si>
    <t>L</t>
  </si>
  <si>
    <t>bl</t>
  </si>
  <si>
    <t>sc.jch</t>
  </si>
  <si>
    <t>sc.cch</t>
  </si>
  <si>
    <t>tower head leg - leans two ways, so it is written as two points</t>
  </si>
  <si>
    <t>sc.hlg</t>
  </si>
  <si>
    <t>sc.main</t>
  </si>
  <si>
    <t>H</t>
  </si>
  <si>
    <t>mc</t>
  </si>
  <si>
    <t>sc.bfr</t>
  </si>
  <si>
    <t>sc.bcr</t>
  </si>
  <si>
    <t># BAR</t>
  </si>
  <si>
    <t>dia</t>
  </si>
  <si>
    <t>BAR</t>
  </si>
  <si>
    <t>bar.mh</t>
  </si>
  <si>
    <t>bar.md</t>
  </si>
  <si>
    <t>bar.lst</t>
  </si>
  <si>
    <t>SS275</t>
  </si>
  <si>
    <t>bar.lrg</t>
  </si>
  <si>
    <t>bar.strut</t>
  </si>
  <si>
    <t>bar.anb</t>
  </si>
  <si>
    <t>SS400</t>
  </si>
  <si>
    <t>jib bottom chord</t>
  </si>
  <si>
    <t>bar.jbc</t>
  </si>
  <si>
    <t>bar.jth</t>
  </si>
  <si>
    <t>bar.jw</t>
  </si>
  <si>
    <t>bar.jpl</t>
  </si>
  <si>
    <t>bar.cbc</t>
  </si>
  <si>
    <t>bar.ch</t>
  </si>
  <si>
    <t>bar.cw</t>
  </si>
  <si>
    <t>bar.ht</t>
  </si>
  <si>
    <t>bar.hd</t>
  </si>
  <si>
    <t>pendant tie bar</t>
  </si>
  <si>
    <t>bar.pen</t>
  </si>
  <si>
    <t>SS540</t>
  </si>
  <si>
    <t>bar.hang</t>
  </si>
  <si>
    <t>bar.rope</t>
  </si>
  <si>
    <t>bar.rail</t>
  </si>
  <si>
    <t>bar.post</t>
  </si>
  <si>
    <t>bar.shk</t>
  </si>
  <si>
    <t>bar.axle</t>
  </si>
  <si>
    <t>bar.barrel</t>
  </si>
  <si>
    <t># PLATE</t>
  </si>
  <si>
    <t>thk</t>
  </si>
  <si>
    <t>shape</t>
  </si>
  <si>
    <t>p1</t>
  </si>
  <si>
    <t>p2</t>
  </si>
  <si>
    <t>p3</t>
  </si>
  <si>
    <t>p4</t>
  </si>
  <si>
    <t>PLATE</t>
  </si>
  <si>
    <t>pl.bped</t>
  </si>
  <si>
    <t>RECT</t>
  </si>
  <si>
    <t>pl.fpl</t>
  </si>
  <si>
    <t>pl.ring</t>
  </si>
  <si>
    <t>CIRC</t>
  </si>
  <si>
    <t>pl.rinn</t>
  </si>
  <si>
    <t>pl.dk</t>
  </si>
  <si>
    <t>pl.gbx</t>
  </si>
  <si>
    <t>pl.hcap</t>
  </si>
  <si>
    <t>pl.hear</t>
  </si>
  <si>
    <t>TRAP</t>
  </si>
  <si>
    <t>pl.pap</t>
  </si>
  <si>
    <t>pl.jrt</t>
  </si>
  <si>
    <t>pl.crt</t>
  </si>
  <si>
    <t>counterweight slab x5</t>
  </si>
  <si>
    <t>pl.cwt</t>
  </si>
  <si>
    <t>pl.cwh</t>
  </si>
  <si>
    <t>pl.mdk</t>
  </si>
  <si>
    <t>pl.dfl</t>
  </si>
  <si>
    <t>pl.mot</t>
  </si>
  <si>
    <t>pl.cabf</t>
  </si>
  <si>
    <t>pl.cabs</t>
  </si>
  <si>
    <t>pl.cabg</t>
  </si>
  <si>
    <t>GLASS</t>
  </si>
  <si>
    <t>pl.tfr</t>
  </si>
  <si>
    <t>pl.twh</t>
  </si>
  <si>
    <t>pl.hbk</t>
  </si>
  <si>
    <t>pl.shv</t>
  </si>
  <si>
    <t>pl.hk</t>
  </si>
  <si>
    <t># HOLE</t>
  </si>
  <si>
    <t>d</t>
  </si>
  <si>
    <t>HOLE</t>
  </si>
  <si>
    <t>ho.race</t>
  </si>
  <si>
    <t>ho.bore</t>
  </si>
  <si>
    <t>ho.anb</t>
  </si>
  <si>
    <t>ho.axle</t>
  </si>
  <si>
    <t>ho.pin</t>
  </si>
  <si>
    <t>a slew bearing is a ring, so it is cut like one</t>
  </si>
  <si>
    <t># CUT</t>
  </si>
  <si>
    <t>plate</t>
  </si>
  <si>
    <t>L.X</t>
  </si>
  <si>
    <t>L.Y</t>
  </si>
  <si>
    <t>dx</t>
  </si>
  <si>
    <t>dy</t>
  </si>
  <si>
    <t>repeat</t>
  </si>
  <si>
    <t>CUT</t>
  </si>
  <si>
    <t># MODULE</t>
  </si>
  <si>
    <t>member</t>
  </si>
  <si>
    <t>Ref.Pt</t>
  </si>
  <si>
    <t>LX1</t>
  </si>
  <si>
    <t>LY1</t>
  </si>
  <si>
    <t>LZ1</t>
  </si>
  <si>
    <t>LX2</t>
  </si>
  <si>
    <t>LY2</t>
  </si>
  <si>
    <t>LZ2</t>
  </si>
  <si>
    <t>OFF_B</t>
  </si>
  <si>
    <t>OFF_E</t>
  </si>
  <si>
    <t>Alpha</t>
  </si>
  <si>
    <t>ONE mast panel: 4 chords, 4 horizontals, 4 diagonals, ladder</t>
  </si>
  <si>
    <t>MODULE</t>
  </si>
  <si>
    <t>md.mast</t>
  </si>
  <si>
    <t>sc.mch_1</t>
  </si>
  <si>
    <t>sc.mch_2</t>
  </si>
  <si>
    <t>sc.mch_3</t>
  </si>
  <si>
    <t>sc.mch_4</t>
  </si>
  <si>
    <t>bar.mh_1</t>
  </si>
  <si>
    <t>bar.mh_2</t>
  </si>
  <si>
    <t>bar.mh_3</t>
  </si>
  <si>
    <t>bar.mh_4</t>
  </si>
  <si>
    <t>bar.md_1</t>
  </si>
  <si>
    <t>bar.md_2</t>
  </si>
  <si>
    <t>bar.md_3</t>
  </si>
  <si>
    <t>bar.md_4</t>
  </si>
  <si>
    <t>bar.lst_1</t>
  </si>
  <si>
    <t>bar.lst_2</t>
  </si>
  <si>
    <t>bar.lrg_1</t>
  </si>
  <si>
    <t>bar.lrg_2</t>
  </si>
  <si>
    <t>bar.lrg_3</t>
  </si>
  <si>
    <t>L.Z</t>
  </si>
  <si>
    <t>PLANE</t>
  </si>
  <si>
    <t>ROT.X</t>
  </si>
  <si>
    <t>ROT.Y</t>
  </si>
  <si>
    <t>ROT.Z</t>
  </si>
  <si>
    <t>BASE</t>
  </si>
  <si>
    <t>md.base</t>
  </si>
  <si>
    <t>mc+</t>
  </si>
  <si>
    <t>XY</t>
  </si>
  <si>
    <t>sc.bfr_1</t>
  </si>
  <si>
    <t>sc.bfr_3</t>
  </si>
  <si>
    <t>sc.bfr_2</t>
  </si>
  <si>
    <t>sc.bfr_4</t>
  </si>
  <si>
    <t>sc.bcr_1</t>
  </si>
  <si>
    <t>sc.bcr_2</t>
  </si>
  <si>
    <t>sc.bcr_3</t>
  </si>
  <si>
    <t>sc.bcr_4</t>
  </si>
  <si>
    <t>bar.strut_1</t>
  </si>
  <si>
    <t>bar.strut_2</t>
  </si>
  <si>
    <t>bar.strut_3</t>
  </si>
  <si>
    <t>bar.strut_4</t>
  </si>
  <si>
    <t>pl.fpl_1</t>
  </si>
  <si>
    <t>pl.fpl_2</t>
  </si>
  <si>
    <t>pl.fpl_3</t>
  </si>
  <si>
    <t>pl.fpl_4</t>
  </si>
  <si>
    <t>bar.anb_1</t>
  </si>
  <si>
    <t>bar.anb_2</t>
  </si>
  <si>
    <t>bar.anb_3</t>
  </si>
  <si>
    <t>bar.anb_4</t>
  </si>
  <si>
    <t>bar.anb_5</t>
  </si>
  <si>
    <t>bar.anb_6</t>
  </si>
  <si>
    <t>bar.anb_7</t>
  </si>
  <si>
    <t>bar.anb_8</t>
  </si>
  <si>
    <t>bar.anb_9</t>
  </si>
  <si>
    <t>bar.anb_10</t>
  </si>
  <si>
    <t>bar.anb_11</t>
  </si>
  <si>
    <t>bar.anb_12</t>
  </si>
  <si>
    <t>bar.anb_13</t>
  </si>
  <si>
    <t>bar.anb_14</t>
  </si>
  <si>
    <t>bar.anb_15</t>
  </si>
  <si>
    <t>bar.anb_16</t>
  </si>
  <si>
    <t>md.slew</t>
  </si>
  <si>
    <t>mc-</t>
  </si>
  <si>
    <t>sc.main_1</t>
  </si>
  <si>
    <t>sc.main_2</t>
  </si>
  <si>
    <t>md.head</t>
  </si>
  <si>
    <t>sc.hlg_1</t>
  </si>
  <si>
    <t>sc.hlg_2</t>
  </si>
  <si>
    <t>sc.hlg_3</t>
  </si>
  <si>
    <t>sc.hlg_4</t>
  </si>
  <si>
    <t>bar.ht_1</t>
  </si>
  <si>
    <t>bar.ht_2</t>
  </si>
  <si>
    <t>bar.ht_3</t>
  </si>
  <si>
    <t>bar.ht_4</t>
  </si>
  <si>
    <t>bar.ht_5</t>
  </si>
  <si>
    <t>bar.ht_6</t>
  </si>
  <si>
    <t>bar.ht_7</t>
  </si>
  <si>
    <t>bar.ht_8</t>
  </si>
  <si>
    <t>bar.ht_9</t>
  </si>
  <si>
    <t>bar.ht_10</t>
  </si>
  <si>
    <t>bar.ht_11</t>
  </si>
  <si>
    <t>bar.ht_12</t>
  </si>
  <si>
    <t>bar.hd_1</t>
  </si>
  <si>
    <t>bar.hd_2</t>
  </si>
  <si>
    <t>bar.hd_3</t>
  </si>
  <si>
    <t>bar.hd_4</t>
  </si>
  <si>
    <t>bar.hd_5</t>
  </si>
  <si>
    <t>bar.hd_6</t>
  </si>
  <si>
    <t>bar.hd_7</t>
  </si>
  <si>
    <t>bar.hd_8</t>
  </si>
  <si>
    <t>bar.hd_9</t>
  </si>
  <si>
    <t>bar.hd_10</t>
  </si>
  <si>
    <t>bar.hd_11</t>
  </si>
  <si>
    <t>bar.hd_12</t>
  </si>
  <si>
    <t>bar.hd_13</t>
  </si>
  <si>
    <t>bar.hd_14</t>
  </si>
  <si>
    <t>bar.hd_15</t>
  </si>
  <si>
    <t>bar.hd_16</t>
  </si>
  <si>
    <t>pl.hear_1</t>
  </si>
  <si>
    <t>XZ</t>
  </si>
  <si>
    <t>pl.hear_2</t>
  </si>
  <si>
    <t>pl.jrt_1</t>
  </si>
  <si>
    <t>pl.jrt_2</t>
  </si>
  <si>
    <t>pl.crt_1</t>
  </si>
  <si>
    <t>pl.crt_2</t>
  </si>
  <si>
    <t>bar.axle_1</t>
  </si>
  <si>
    <t>bar.axle_2</t>
  </si>
  <si>
    <t>ONE jib bay - 3 chords and the web that ties them</t>
  </si>
  <si>
    <t>md.jib</t>
  </si>
  <si>
    <t>sc.jch_1</t>
  </si>
  <si>
    <t>sc.jch_2</t>
  </si>
  <si>
    <t>bar.jw_1</t>
  </si>
  <si>
    <t>bar.jw_2</t>
  </si>
  <si>
    <t>bar.jw_3</t>
  </si>
  <si>
    <t>bar.jw_4</t>
  </si>
  <si>
    <t>md.jtip</t>
  </si>
  <si>
    <t>md.cjib</t>
  </si>
  <si>
    <t>sc.cch_1</t>
  </si>
  <si>
    <t>sc.cch_2</t>
  </si>
  <si>
    <t>bar.cw_1</t>
  </si>
  <si>
    <t>bar.cw_2</t>
  </si>
  <si>
    <t>bar.cw_3</t>
  </si>
  <si>
    <t>bar.cw_4</t>
  </si>
  <si>
    <t>md.mach</t>
  </si>
  <si>
    <t>pl.dfl_1</t>
  </si>
  <si>
    <t>YZ</t>
  </si>
  <si>
    <t>pl.dfl_2</t>
  </si>
  <si>
    <t>bar.post_1</t>
  </si>
  <si>
    <t>bar.post_2</t>
  </si>
  <si>
    <t>bar.post_3</t>
  </si>
  <si>
    <t>bar.post_4</t>
  </si>
  <si>
    <t>bar.rail_1</t>
  </si>
  <si>
    <t>bar.rail_2</t>
  </si>
  <si>
    <t>bar.post_5</t>
  </si>
  <si>
    <t>bar.post_6</t>
  </si>
  <si>
    <t>bar.post_7</t>
  </si>
  <si>
    <t>bar.post_8</t>
  </si>
  <si>
    <t>bar.rail_3</t>
  </si>
  <si>
    <t>bar.rail_4</t>
  </si>
  <si>
    <t>md.cwt</t>
  </si>
  <si>
    <t>pl.cwt_1</t>
  </si>
  <si>
    <t>pl.cwt_2</t>
  </si>
  <si>
    <t>pl.cwt_3</t>
  </si>
  <si>
    <t>pl.cwt_4</t>
  </si>
  <si>
    <t>pl.cwt_5</t>
  </si>
  <si>
    <t>pl.cwh_1</t>
  </si>
  <si>
    <t>pl.cwh_2</t>
  </si>
  <si>
    <t>bar.hang_1</t>
  </si>
  <si>
    <t>bar.hang_2</t>
  </si>
  <si>
    <t>bar.hang_3</t>
  </si>
  <si>
    <t>bar.hang_4</t>
  </si>
  <si>
    <t>md.cab</t>
  </si>
  <si>
    <t>pl.cabf_1</t>
  </si>
  <si>
    <t>pl.cabf_2</t>
  </si>
  <si>
    <t>pl.cabs_1</t>
  </si>
  <si>
    <t>pl.cabs_2</t>
  </si>
  <si>
    <t>pl.cabg_1</t>
  </si>
  <si>
    <t>pl.cabg_2</t>
  </si>
  <si>
    <t>md.trly</t>
  </si>
  <si>
    <t>pl.twh_1</t>
  </si>
  <si>
    <t>pl.twh_2</t>
  </si>
  <si>
    <t>pl.twh_3</t>
  </si>
  <si>
    <t>pl.twh_4</t>
  </si>
  <si>
    <t>md.hook</t>
  </si>
  <si>
    <t>pl.hbk_1</t>
  </si>
  <si>
    <t>pl.hbk_2</t>
  </si>
  <si>
    <t>pl.shv_1</t>
  </si>
  <si>
    <t>pl.shv_2</t>
  </si>
  <si>
    <t>pl.shv_3</t>
  </si>
  <si>
    <t>bar.rope_1</t>
  </si>
  <si>
    <t>bar.rope_2</t>
  </si>
  <si>
    <t>bar.rope_3</t>
  </si>
  <si>
    <t>bar.rope_4</t>
  </si>
  <si>
    <t>md.pend</t>
  </si>
  <si>
    <t>bar.pen_1</t>
  </si>
  <si>
    <t>bar.pen_2</t>
  </si>
  <si>
    <t>bar.pen_3</t>
  </si>
  <si>
    <t>bar.pen_4</t>
  </si>
  <si>
    <t>bar.pen_5</t>
  </si>
  <si>
    <t>bar.pen_6</t>
  </si>
  <si>
    <t>and now the whole crane</t>
  </si>
  <si>
    <t># ASSY</t>
  </si>
  <si>
    <t>ref</t>
  </si>
  <si>
    <t>cmd</t>
  </si>
  <si>
    <t>G.X / d.X</t>
  </si>
  <si>
    <t>G.Y</t>
  </si>
  <si>
    <t>G.Z</t>
  </si>
  <si>
    <t>ROT.X / axis</t>
  </si>
  <si>
    <t>ROT.Y / ang</t>
  </si>
  <si>
    <t>ROT.Z / rep</t>
  </si>
  <si>
    <t>ASSY</t>
  </si>
  <si>
    <t>as.base</t>
  </si>
  <si>
    <t>ADD</t>
  </si>
  <si>
    <t>as.mast</t>
  </si>
  <si>
    <t>COPY</t>
  </si>
  <si>
    <t>as.turn</t>
  </si>
  <si>
    <t>as.jib</t>
  </si>
  <si>
    <t>as.cjib</t>
  </si>
  <si>
    <t>as.tie</t>
  </si>
  <si>
    <t>as.hoist</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</si>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</sst>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
  </numFmts>
  <fonts count="15" x14ac:knownFonts="1">
    <font>
      <color theme="1"/>
      <family val="2"/>
      <scheme val="minor"/>
      <sz val="11"/>
      <name val="Calibri"/>
    </font>
    <font>
      <b/>
      <color rgb="FF0F172A"/>
      <sz val="18"/>
      <name val="Arial"/>
    </font>
    <font>
      <color rgb="FF64748B"/>
      <sz val="10"/>
      <name val="Arial"/>
    </font>
    <font>
      <b/>
      <color rgb="FFFFFFFF"/>
      <sz val="12"/>
      <name val="Arial"/>
    </font>
    <font>
      <color rgb="FFFFFFFF"/>
      <sz val="9"/>
      <name val="Arial"/>
    </font>
    <font>
      <b/>
      <color rgb="FF64748B"/>
      <sz val="9"/>
      <name val="Arial"/>
    </font>
    <font>
      <b/>
      <color rgb="FF0F172A"/>
      <sz val="10"/>
      <name val="Arial"/>
    </font>
    <font>
      <b/>
      <color rgb="FF1D4ED8"/>
      <sz val="10"/>
      <name val="Arial"/>
    </font>
    <font>
      <i/>
      <color rgb="FF64748B"/>
      <sz val="9"/>
      <name val="Arial"/>
    </font>
    <font>
      <b/>
      <color rgb="FFB45309"/>
      <sz val="9"/>
      <name val="Arial"/>
    </font>
    <font>
      <color rgb="FF64748B"/>
      <sz val="9"/>
      <name val="Arial"/>
    </font>
    <font>
      <i/>
      <color rgb="FF94A3B8"/>
      <sz val="10"/>
    </font>
    <font>
      <i/>
      <color rgb="FF64748B"/>
      <sz val="10"/>
    </font>
    <font>
      <b/>
      <color rgb="FF1D4ED8"/>
    </font>
    <font>
      <color rgb="FF0E7490"/>
    </font>
  </fonts>
  <fills count="4">
    <fill>
      <patternFill patternType="none"/>
    </fill>
    <fill>
      <patternFill patternType="gray125"/>
    </fill>
    <fill>
      <patternFill patternType="solid">
        <fgColor rgb="FF0F172A"/>
      </patternFill>
    </fill>
    <fill>
      <patternFill patternType="solid">
        <fgColor rgb="FFEFF6FF"/>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0" xfId="0" applyFont="1" applyFill="1" applyAlignment="1">
      <alignment horizontal="left" vertical="center"/>
    </xf>
    <xf numFmtId="0" fontId="4" fillId="2" borderId="0" xfId="0" applyFont="1" applyFill="1" applyAlignment="1">
      <alignment horizontal="left" vertical="center"/>
    </xf>
    <xf numFmtId="0" fontId="5" fillId="0" borderId="0" xfId="0" applyFont="1" applyAlignment="1">
      <alignment horizontal="left" vertical="center"/>
    </xf>
    <xf numFmtId="0" fontId="5" fillId="0" borderId="0" xfId="0" applyFont="1" applyAlignment="1">
      <alignment horizontal="center" vertical="center"/>
    </xf>
    <xf numFmtId="0" fontId="6" fillId="0" borderId="0" xfId="0" applyFont="1" applyAlignment="1">
      <alignment horizontal="left" vertical="center"/>
    </xf>
    <xf numFmtId="0" fontId="7" fillId="3" borderId="1" xfId="0" applyFont="1" applyFill="1" applyBorder="1" applyAlignment="1">
      <alignment horizontal="center" vertical="center"/>
    </xf>
    <xf numFmtId="0" fontId="2" fillId="0" borderId="1" xfId="0" applyFont="1" applyBorder="1" applyAlignment="1">
      <alignment horizontal="center" vertical="center"/>
    </xf>
    <xf numFmtId="0" fontId="8" fillId="0" borderId="0" xfId="0" applyFont="1" applyAlignment="1">
      <alignment horizontal="left" vertical="center"/>
    </xf>
    <xf numFmtId="0" fontId="9" fillId="0" borderId="0" xfId="0" applyFont="1" applyAlignment="1">
      <alignment horizontal="left" vertical="center"/>
    </xf>
    <xf numFmtId="0" fontId="10" fillId="0" borderId="0" xfId="0" applyFont="1" applyAlignment="1">
      <alignment horizontal="right" vertical="center"/>
    </xf>
    <xf numFmtId="0" fontId="10" fillId="0" borderId="0" xfId="0" applyFont="1" applyAlignment="1">
      <alignment horizontal="center" vertical="center"/>
    </xf>
    <xf numFmtId="164" fontId="2" fillId="0" borderId="1" xfId="0" applyNumberFormat="1" applyFont="1" applyBorder="1" applyAlignment="1">
      <alignment horizontal="center" vertical="center"/>
    </xf>
    <xf numFmtId="0" fontId="11" fillId="0" borderId="0" xfId="0" applyFont="1"/>
    <xf numFmtId="0" fontId="12" fillId="0" borderId="0" xfId="0" applyFont="1"/>
    <xf numFmtId="0" fontId="13" fillId="0" borderId="0" xfId="0" applyFont="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1</xdr:col>
      <xdr:colOff>43999</xdr:colOff>
      <xdr:row>30</xdr:row>
      <xdr:rowOff>0</xdr:rowOff>
    </xdr:from>
    <xdr:ext cx="9525000" cy="6631509"/>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43999</xdr:colOff>
      <xdr:row>69</xdr:row>
      <xdr:rowOff>0</xdr:rowOff>
    </xdr:from>
    <xdr:ext cx="5905500" cy="6357556"/>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69"/>
  <sheetViews>
    <sheetView workbookViewId="0" showGridLines="0"/>
  </sheetViews>
  <sheetFormatPr defaultRowHeight="15" outlineLevelRow="0" outlineLevelCol="0" x14ac:dyDescent="55"/>
  <cols>
    <col min="1" max="1" width="3" customWidth="1"/>
    <col min="2" max="2" width="22" customWidth="1"/>
    <col min="3" max="6" width="11" customWidth="1"/>
    <col min="7" max="7" width="3" customWidth="1"/>
    <col min="8" max="10" width="13" customWidth="1"/>
    <col min="11" max="11" width="3" customWidth="1"/>
  </cols>
  <sheetData>
    <row r="1" ht="26" customHeight="1" spans="2:2" x14ac:dyDescent="0.25">
      <c r="B1" s="1" t="s">
        <v>0</v>
      </c>
    </row>
    <row r="2" spans="2:2" x14ac:dyDescent="0.25">
      <c r="B2" s="2" t="s">
        <v>1</v>
      </c>
    </row>
    <row r="4" ht="20" customHeight="1" spans="2:10" x14ac:dyDescent="0.25">
      <c r="B4" s="3" t="s">
        <v>2</v>
      </c>
      <c r="C4" s="4" t="s">
        <v>3</v>
      </c>
      <c r="D4" s="4"/>
      <c r="E4" s="4"/>
      <c r="F4" s="4"/>
      <c r="G4" s="4"/>
      <c r="H4" s="4"/>
      <c r="I4" s="4"/>
      <c r="J4" s="4"/>
    </row>
    <row r="5" spans="2:10" x14ac:dyDescent="0.25">
      <c r="B5" s="5" t="s">
        <v>4</v>
      </c>
      <c r="C5" s="6" t="s">
        <v>5</v>
      </c>
      <c r="D5" s="6" t="s">
        <v>6</v>
      </c>
      <c r="E5" s="6" t="s">
        <v>7</v>
      </c>
      <c r="F5" s="6" t="s">
        <v>8</v>
      </c>
      <c r="H5" s="6" t="s">
        <v>9</v>
      </c>
      <c r="I5" s="6" t="s">
        <v>10</v>
      </c>
      <c r="J5" s="6" t="s">
        <v>11</v>
      </c>
    </row>
    <row r="6" spans="2:10" x14ac:dyDescent="0.25">
      <c r="B6" s="7" t="s">
        <v>12</v>
      </c>
      <c r="C6" s="8">
        <v>2400</v>
      </c>
      <c r="D6" s="8">
        <v>15</v>
      </c>
      <c r="E6" s="8">
        <v>1000</v>
      </c>
      <c r="F6" s="8">
        <v>9630</v>
      </c>
      <c r="H6" s="9">
        <f>=PARAM!$E$6+PARAM!$C$6*PARAM!$D$6</f>
        <v>37000</v>
      </c>
      <c r="I6" s="9">
        <f>=PARAM!$H$6+370+PARAM!$F$6</f>
        <v>47000</v>
      </c>
      <c r="J6" s="9">
        <f>=PARAM!$I$6+860</f>
        <v>47860</v>
      </c>
    </row>
    <row r="7" spans="2:10" x14ac:dyDescent="0.25">
      <c r="B7" s="10" t="s">
        <v>13</v>
      </c>
      <c r="C7" s="10"/>
      <c r="D7" s="10"/>
      <c r="E7" s="10"/>
      <c r="F7" s="10"/>
      <c r="G7" s="10"/>
      <c r="H7" s="10"/>
      <c r="I7" s="10"/>
      <c r="J7" s="10"/>
    </row>
    <row r="8" spans="2:6" x14ac:dyDescent="0.25">
      <c r="B8" s="11" t="s">
        <v>14</v>
      </c>
      <c r="C8" s="12" t="s">
        <v>15</v>
      </c>
      <c r="D8" s="11" t="str">
        <f>=IF(PARAM!$D$6&lt;3,"at least 3",IF(PARAM!$D$6&gt;40,"over 40 — free-standing?","ok "&amp;PARAM!$D$6))</f>
        <v>ok 15</v>
      </c>
      <c r="E8" s="12" t="s">
        <v>16</v>
      </c>
      <c r="F8" s="11" t="str">
        <f>=TEXT(PARAM!$J$6/1000,"0.0")&amp;" m"</f>
        <v>47.9 m</v>
      </c>
    </row>
    <row r="10" ht="20" customHeight="1" spans="2:10" x14ac:dyDescent="0.25">
      <c r="B10" s="3" t="s">
        <v>17</v>
      </c>
      <c r="C10" s="4" t="s">
        <v>18</v>
      </c>
      <c r="D10" s="4"/>
      <c r="E10" s="4"/>
      <c r="F10" s="4"/>
      <c r="G10" s="4"/>
      <c r="H10" s="4"/>
      <c r="I10" s="4"/>
      <c r="J10" s="4"/>
    </row>
    <row r="11" spans="2:10" x14ac:dyDescent="0.25">
      <c r="B11" s="5" t="s">
        <v>4</v>
      </c>
      <c r="C11" s="6" t="s">
        <v>19</v>
      </c>
      <c r="D11" s="6" t="s">
        <v>20</v>
      </c>
      <c r="E11" s="6" t="s">
        <v>21</v>
      </c>
      <c r="F11" s="6" t="s">
        <v>22</v>
      </c>
      <c r="H11" s="6" t="s">
        <v>23</v>
      </c>
      <c r="I11" s="6" t="s">
        <v>24</v>
      </c>
      <c r="J11" s="6" t="s">
        <v>25</v>
      </c>
    </row>
    <row r="12" spans="2:10" x14ac:dyDescent="0.25">
      <c r="B12" s="7" t="s">
        <v>26</v>
      </c>
      <c r="C12" s="8">
        <v>3000</v>
      </c>
      <c r="D12" s="8">
        <v>15</v>
      </c>
      <c r="E12" s="8">
        <v>1900</v>
      </c>
      <c r="F12" s="8">
        <v>1600</v>
      </c>
      <c r="H12" s="9">
        <f>=PARAM!$E$12+PARAM!$C$12*PARAM!$D$12</f>
        <v>46900</v>
      </c>
      <c r="I12" s="9">
        <f>=PARAM!$H$12+PARAM!$F$12</f>
        <v>48500</v>
      </c>
      <c r="J12" s="9">
        <f>=PARAM!$H$6+1140</f>
        <v>38140</v>
      </c>
    </row>
    <row r="13" spans="2:9" x14ac:dyDescent="0.25">
      <c r="B13" s="7" t="s">
        <v>27</v>
      </c>
      <c r="C13" s="8">
        <v>2600</v>
      </c>
      <c r="D13" s="8">
        <v>5</v>
      </c>
      <c r="E13" s="8">
        <v>1900</v>
      </c>
      <c r="F13" s="13" t="s">
        <v>28</v>
      </c>
      <c r="H13" s="9">
        <f>=-PARAM!$E$13-PARAM!$C$13*PARAM!$D$13</f>
        <v>-14900</v>
      </c>
      <c r="I13" s="9">
        <f>=-PARAM!$H$13</f>
        <v>14900</v>
      </c>
    </row>
    <row r="14" spans="2:10" x14ac:dyDescent="0.25">
      <c r="B14" s="10" t="s">
        <v>29</v>
      </c>
      <c r="C14" s="10"/>
      <c r="D14" s="10"/>
      <c r="E14" s="10"/>
      <c r="F14" s="10"/>
      <c r="G14" s="10"/>
      <c r="H14" s="10"/>
      <c r="I14" s="10"/>
      <c r="J14" s="10"/>
    </row>
    <row r="15" spans="2:6" x14ac:dyDescent="0.25">
      <c r="B15" s="11" t="s">
        <v>14</v>
      </c>
      <c r="C15" s="12" t="s">
        <v>30</v>
      </c>
      <c r="D15" s="11" t="str">
        <f>=TEXT(PARAM!$E$12+PARAM!$C$12*ROUND((PARAM!$D$12-2)/2,0),"0")&amp;" / "&amp;TEXT(PARAM!$H$12-1500,"0")</f>
        <v>21400 / 45400</v>
      </c>
      <c r="E15" s="12" t="s">
        <v>31</v>
      </c>
      <c r="F15" s="11" t="str">
        <f>=TEXT(PARAM!$I$12/1000,"0.0")&amp;" m"</f>
        <v>48.5 m</v>
      </c>
    </row>
    <row r="17" ht="20" customHeight="1" spans="2:10" x14ac:dyDescent="0.25">
      <c r="B17" s="3" t="s">
        <v>32</v>
      </c>
      <c r="C17" s="4" t="s">
        <v>33</v>
      </c>
      <c r="D17" s="4"/>
      <c r="E17" s="4"/>
      <c r="F17" s="4"/>
      <c r="G17" s="4"/>
      <c r="H17" s="4"/>
      <c r="I17" s="4"/>
      <c r="J17" s="4"/>
    </row>
    <row r="18" spans="2:10" x14ac:dyDescent="0.25">
      <c r="B18" s="5" t="s">
        <v>4</v>
      </c>
      <c r="C18" s="6" t="s">
        <v>34</v>
      </c>
      <c r="D18" s="6" t="s">
        <v>35</v>
      </c>
      <c r="H18" s="6" t="s">
        <v>36</v>
      </c>
      <c r="I18" s="6" t="s">
        <v>37</v>
      </c>
      <c r="J18" s="6" t="s">
        <v>38</v>
      </c>
    </row>
    <row r="19" spans="2:10" x14ac:dyDescent="0.25">
      <c r="B19" s="7" t="s">
        <v>39</v>
      </c>
      <c r="C19" s="8">
        <v>30000</v>
      </c>
      <c r="D19" s="8">
        <v>26020</v>
      </c>
      <c r="H19" s="9">
        <f>=PARAM!$J$12+1880</f>
        <v>40020</v>
      </c>
      <c r="I19" s="9">
        <f>=PARAM!$H$19-PARAM!$D$19</f>
        <v>14000</v>
      </c>
      <c r="J19" s="9">
        <f>=PARAM!$I$19-1910</f>
        <v>12090</v>
      </c>
    </row>
    <row r="20" spans="2:10" x14ac:dyDescent="0.25">
      <c r="B20" s="10" t="s">
        <v>40</v>
      </c>
      <c r="C20" s="10"/>
      <c r="D20" s="10"/>
      <c r="E20" s="10"/>
      <c r="F20" s="10"/>
      <c r="G20" s="10"/>
      <c r="H20" s="10"/>
      <c r="I20" s="10"/>
      <c r="J20" s="10"/>
    </row>
    <row r="21" spans="2:6" x14ac:dyDescent="0.25">
      <c r="B21" s="11" t="s">
        <v>14</v>
      </c>
      <c r="C21" s="12" t="s">
        <v>41</v>
      </c>
      <c r="D21" s="11" t="str">
        <f>=IF(PARAM!$C$19&gt;PARAM!$H$12-1500,"past the jib end","ok")</f>
        <v>ok</v>
      </c>
      <c r="E21" s="12" t="s">
        <v>42</v>
      </c>
      <c r="F21" s="11" t="str">
        <f>=IF(PARAM!$J$19&lt;0,"below ground by "&amp;TEXT(-PARAM!$J$19/1000,"0.0")&amp;" m","ok")</f>
        <v>ok</v>
      </c>
    </row>
    <row r="23" ht="20" customHeight="1" spans="2:10" x14ac:dyDescent="0.25">
      <c r="B23" s="3" t="s">
        <v>43</v>
      </c>
      <c r="C23" s="4" t="s">
        <v>44</v>
      </c>
      <c r="D23" s="4"/>
      <c r="E23" s="4"/>
      <c r="F23" s="4"/>
      <c r="G23" s="4"/>
      <c r="H23" s="4"/>
      <c r="I23" s="4"/>
      <c r="J23" s="4"/>
    </row>
    <row r="24" spans="2:10" x14ac:dyDescent="0.25">
      <c r="B24" s="5" t="s">
        <v>4</v>
      </c>
      <c r="C24" s="6" t="s">
        <v>45</v>
      </c>
      <c r="H24" s="6" t="s">
        <v>46</v>
      </c>
      <c r="I24" s="6" t="s">
        <v>47</v>
      </c>
      <c r="J24" s="6" t="s">
        <v>48</v>
      </c>
    </row>
    <row r="25" spans="2:10" x14ac:dyDescent="0.25">
      <c r="B25" s="7" t="s">
        <v>49</v>
      </c>
      <c r="C25" s="8">
        <v>0</v>
      </c>
      <c r="H25" s="14">
        <f>=COS(RADIANS(PARAM!$C$25))</f>
        <v>1</v>
      </c>
      <c r="I25" s="14">
        <f>=SIN(RADIANS(PARAM!$C$25))</f>
        <v>0</v>
      </c>
      <c r="J25" s="9" t="str">
        <f>=TEXT(MOD(PARAM!$C$25,360),"0")&amp;"° from +X"</f>
        <v>0° from +X</v>
      </c>
    </row>
    <row r="26" spans="2:10" x14ac:dyDescent="0.25">
      <c r="B26" s="10" t="s">
        <v>50</v>
      </c>
      <c r="C26" s="10"/>
      <c r="D26" s="10"/>
      <c r="E26" s="10"/>
      <c r="F26" s="10"/>
      <c r="G26" s="10"/>
      <c r="H26" s="10"/>
      <c r="I26" s="10"/>
      <c r="J26" s="10"/>
    </row>
    <row r="28" ht="20" customHeight="1" spans="2:10" x14ac:dyDescent="0.25">
      <c r="B28" s="3" t="s">
        <v>51</v>
      </c>
      <c r="C28" s="4" t="s">
        <v>52</v>
      </c>
      <c r="D28" s="4"/>
      <c r="E28" s="4"/>
      <c r="F28" s="4"/>
      <c r="G28" s="4"/>
      <c r="H28" s="4"/>
      <c r="I28" s="4"/>
      <c r="J28" s="4"/>
    </row>
    <row r="30" spans="2:2" x14ac:dyDescent="0.25">
      <c r="B30" s="7" t="s">
        <v>53</v>
      </c>
    </row>
    <row r="69" spans="2:2" x14ac:dyDescent="0.25">
      <c r="B69" s="7" t="s">
        <v>54</v>
      </c>
    </row>
  </sheetData>
  <mergeCells count="4">
    <mergeCell ref="B7:J7"/>
    <mergeCell ref="B14:J14"/>
    <mergeCell ref="B20:J20"/>
    <mergeCell ref="B26:J26"/>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7"/>
  <sheetViews>
    <sheetView workbookViewId="0">
      <pane ySplit="1" topLeftCell="A2" activePane="bottomLeft" state="frozen"/>
      <selection pane="bottomLeft"/>
    </sheetView>
  </sheetViews>
  <sheetFormatPr defaultRowHeight="15" outlineLevelRow="0" outlineLevelCol="0" x14ac:dyDescent="55"/>
  <cols>
    <col min="1" max="1" width="58" customWidth="1"/>
    <col min="2" max="2" width="11" customWidth="1"/>
    <col min="3" max="4" width="12" customWidth="1"/>
  </cols>
  <sheetData>
    <row r="1" spans="1:14" x14ac:dyDescent="0.25">
      <c r="A1" s="15" t="s">
        <v>55</v>
      </c>
      <c r="B1" s="16" t="s">
        <v>56</v>
      </c>
      <c r="C1" t="s">
        <v>57</v>
      </c>
      <c r="D1" t="s">
        <v>58</v>
      </c>
      <c r="E1" t="s">
        <v>59</v>
      </c>
      <c r="F1" t="s">
        <v>60</v>
      </c>
      <c r="G1" t="s">
        <v>61</v>
      </c>
      <c r="H1" t="s">
        <v>62</v>
      </c>
      <c r="I1" t="s">
        <v>63</v>
      </c>
      <c r="J1" t="s">
        <v>64</v>
      </c>
      <c r="K1" t="s">
        <v>65</v>
      </c>
      <c r="L1" t="s">
        <v>66</v>
      </c>
      <c r="M1" t="s">
        <v>67</v>
      </c>
      <c r="N1" t="s">
        <v>68</v>
      </c>
    </row>
    <row r="2" spans="1:13" x14ac:dyDescent="0.25">
      <c r="A2" s="15" t="s">
        <v>69</v>
      </c>
      <c r="B2" s="17" t="s">
        <v>70</v>
      </c>
      <c r="C2" t="s">
        <v>71</v>
      </c>
      <c r="D2" t="s">
        <v>72</v>
      </c>
      <c r="E2" s="18">
        <f>=PARAM!$C$6</f>
        <v>2400</v>
      </c>
      <c r="F2" t="s">
        <v>73</v>
      </c>
      <c r="G2" t="s">
        <v>74</v>
      </c>
      <c r="H2">
        <v>150</v>
      </c>
      <c r="I2">
        <v>150</v>
      </c>
      <c r="J2">
        <v>14</v>
      </c>
      <c r="K2">
        <v>14</v>
      </c>
      <c r="L2">
        <v>14</v>
      </c>
      <c r="M2">
        <v>7</v>
      </c>
    </row>
    <row r="3" spans="1:13" x14ac:dyDescent="0.25">
      <c r="A3" s="15" t="s">
        <v>4</v>
      </c>
      <c r="B3" s="17" t="s">
        <v>70</v>
      </c>
      <c r="C3" t="s">
        <v>75</v>
      </c>
      <c r="D3" t="s">
        <v>72</v>
      </c>
      <c r="E3" s="18">
        <f>=PARAM!$C$12</f>
        <v>3000</v>
      </c>
      <c r="F3" t="s">
        <v>73</v>
      </c>
      <c r="G3" t="s">
        <v>74</v>
      </c>
      <c r="H3">
        <v>120</v>
      </c>
      <c r="I3">
        <v>120</v>
      </c>
      <c r="J3">
        <v>12</v>
      </c>
      <c r="K3">
        <v>12</v>
      </c>
      <c r="L3">
        <v>12</v>
      </c>
      <c r="M3">
        <v>6</v>
      </c>
    </row>
    <row r="4" spans="1:13" x14ac:dyDescent="0.25">
      <c r="A4" s="15" t="s">
        <v>4</v>
      </c>
      <c r="B4" s="17" t="s">
        <v>70</v>
      </c>
      <c r="C4" t="s">
        <v>76</v>
      </c>
      <c r="D4" t="s">
        <v>72</v>
      </c>
      <c r="E4" s="18">
        <f>=PARAM!$C$13</f>
        <v>2600</v>
      </c>
      <c r="F4" t="s">
        <v>73</v>
      </c>
      <c r="G4" t="s">
        <v>74</v>
      </c>
      <c r="H4">
        <v>110</v>
      </c>
      <c r="I4">
        <v>110</v>
      </c>
      <c r="J4">
        <v>10</v>
      </c>
      <c r="K4">
        <v>10</v>
      </c>
      <c r="L4">
        <v>10</v>
      </c>
      <c r="M4">
        <v>5</v>
      </c>
    </row>
    <row r="5" spans="1:13" x14ac:dyDescent="0.25">
      <c r="A5" s="15" t="s">
        <v>77</v>
      </c>
      <c r="B5" s="17" t="s">
        <v>70</v>
      </c>
      <c r="C5" t="s">
        <v>78</v>
      </c>
      <c r="D5" t="s">
        <v>72</v>
      </c>
      <c r="E5">
        <v>9500</v>
      </c>
      <c r="F5" t="s">
        <v>73</v>
      </c>
      <c r="G5" t="s">
        <v>74</v>
      </c>
      <c r="H5">
        <v>130</v>
      </c>
      <c r="I5">
        <v>130</v>
      </c>
      <c r="J5">
        <v>12</v>
      </c>
      <c r="K5">
        <v>12</v>
      </c>
      <c r="L5">
        <v>12</v>
      </c>
      <c r="M5">
        <v>6</v>
      </c>
    </row>
    <row r="6" spans="1:14" x14ac:dyDescent="0.25">
      <c r="A6" s="15" t="s">
        <v>4</v>
      </c>
      <c r="B6" s="17" t="s">
        <v>70</v>
      </c>
      <c r="C6" t="s">
        <v>79</v>
      </c>
      <c r="D6" t="s">
        <v>72</v>
      </c>
      <c r="E6">
        <v>4600</v>
      </c>
      <c r="F6" t="s">
        <v>80</v>
      </c>
      <c r="G6" t="s">
        <v>81</v>
      </c>
      <c r="H6">
        <v>700</v>
      </c>
      <c r="I6">
        <v>300</v>
      </c>
      <c r="J6">
        <v>300</v>
      </c>
      <c r="K6">
        <v>14</v>
      </c>
      <c r="L6">
        <v>22</v>
      </c>
      <c r="M6">
        <v>22</v>
      </c>
      <c r="N6">
        <v>24</v>
      </c>
    </row>
    <row r="7" spans="1:14" x14ac:dyDescent="0.25">
      <c r="A7" s="15" t="s">
        <v>4</v>
      </c>
      <c r="B7" s="17" t="s">
        <v>70</v>
      </c>
      <c r="C7" t="s">
        <v>82</v>
      </c>
      <c r="D7" t="s">
        <v>72</v>
      </c>
      <c r="E7">
        <v>4800</v>
      </c>
      <c r="F7" t="s">
        <v>80</v>
      </c>
      <c r="G7" t="s">
        <v>81</v>
      </c>
      <c r="H7">
        <v>600</v>
      </c>
      <c r="I7">
        <v>250</v>
      </c>
      <c r="J7">
        <v>250</v>
      </c>
      <c r="K7">
        <v>12</v>
      </c>
      <c r="L7">
        <v>19</v>
      </c>
      <c r="M7">
        <v>19</v>
      </c>
      <c r="N7">
        <v>22</v>
      </c>
    </row>
    <row r="8" spans="1:14" x14ac:dyDescent="0.25">
      <c r="A8" s="15" t="s">
        <v>4</v>
      </c>
      <c r="B8" s="17" t="s">
        <v>70</v>
      </c>
      <c r="C8" t="s">
        <v>83</v>
      </c>
      <c r="D8" t="s">
        <v>72</v>
      </c>
      <c r="E8">
        <v>1400</v>
      </c>
      <c r="F8" t="s">
        <v>80</v>
      </c>
      <c r="G8" t="s">
        <v>81</v>
      </c>
      <c r="H8">
        <v>400</v>
      </c>
      <c r="I8">
        <v>200</v>
      </c>
      <c r="J8">
        <v>200</v>
      </c>
      <c r="K8">
        <v>9</v>
      </c>
      <c r="L8">
        <v>14</v>
      </c>
      <c r="M8">
        <v>14</v>
      </c>
      <c r="N8">
        <v>16</v>
      </c>
    </row>
    <row r="10" spans="1:6" x14ac:dyDescent="0.25">
      <c r="A10" s="15" t="s">
        <v>4</v>
      </c>
      <c r="B10" s="16" t="s">
        <v>84</v>
      </c>
      <c r="C10" t="s">
        <v>57</v>
      </c>
      <c r="D10" t="s">
        <v>58</v>
      </c>
      <c r="E10" t="s">
        <v>85</v>
      </c>
      <c r="F10" t="s">
        <v>59</v>
      </c>
    </row>
    <row r="11" spans="1:6" x14ac:dyDescent="0.25">
      <c r="A11" s="15" t="s">
        <v>4</v>
      </c>
      <c r="B11" s="17" t="s">
        <v>86</v>
      </c>
      <c r="C11" t="s">
        <v>87</v>
      </c>
      <c r="D11" t="s">
        <v>72</v>
      </c>
      <c r="E11">
        <v>70</v>
      </c>
      <c r="F11">
        <v>1600</v>
      </c>
    </row>
    <row r="12" spans="1:6" x14ac:dyDescent="0.25">
      <c r="A12" s="15" t="s">
        <v>4</v>
      </c>
      <c r="B12" s="17" t="s">
        <v>86</v>
      </c>
      <c r="C12" t="s">
        <v>88</v>
      </c>
      <c r="D12" t="s">
        <v>72</v>
      </c>
      <c r="E12">
        <v>60</v>
      </c>
      <c r="F12">
        <v>2885</v>
      </c>
    </row>
    <row r="13" spans="1:6" x14ac:dyDescent="0.25">
      <c r="A13" s="15" t="s">
        <v>4</v>
      </c>
      <c r="B13" s="17" t="s">
        <v>86</v>
      </c>
      <c r="C13" t="s">
        <v>89</v>
      </c>
      <c r="D13" t="s">
        <v>90</v>
      </c>
      <c r="E13">
        <v>34</v>
      </c>
      <c r="F13" s="18">
        <f>=PARAM!$C$6</f>
        <v>2400</v>
      </c>
    </row>
    <row r="14" spans="1:6" x14ac:dyDescent="0.25">
      <c r="A14" s="15" t="s">
        <v>4</v>
      </c>
      <c r="B14" s="17" t="s">
        <v>86</v>
      </c>
      <c r="C14" t="s">
        <v>91</v>
      </c>
      <c r="D14" t="s">
        <v>90</v>
      </c>
      <c r="E14">
        <v>22</v>
      </c>
      <c r="F14">
        <v>400</v>
      </c>
    </row>
    <row r="15" spans="1:6" x14ac:dyDescent="0.25">
      <c r="A15" s="15" t="s">
        <v>4</v>
      </c>
      <c r="B15" s="17" t="s">
        <v>86</v>
      </c>
      <c r="C15" t="s">
        <v>92</v>
      </c>
      <c r="D15" t="s">
        <v>72</v>
      </c>
      <c r="E15">
        <v>130</v>
      </c>
      <c r="F15">
        <v>4300</v>
      </c>
    </row>
    <row r="16" spans="1:6" x14ac:dyDescent="0.25">
      <c r="A16" s="15" t="s">
        <v>4</v>
      </c>
      <c r="B16" s="17" t="s">
        <v>86</v>
      </c>
      <c r="C16" t="s">
        <v>93</v>
      </c>
      <c r="D16" t="s">
        <v>94</v>
      </c>
      <c r="E16">
        <v>48</v>
      </c>
      <c r="F16">
        <v>180</v>
      </c>
    </row>
    <row r="17" spans="1:6" x14ac:dyDescent="0.25">
      <c r="A17" s="15" t="s">
        <v>95</v>
      </c>
      <c r="B17" s="17" t="s">
        <v>86</v>
      </c>
      <c r="C17" t="s">
        <v>96</v>
      </c>
      <c r="D17" t="s">
        <v>72</v>
      </c>
      <c r="E17">
        <v>100</v>
      </c>
      <c r="F17" s="18">
        <f>=PARAM!$C$12</f>
        <v>3000</v>
      </c>
    </row>
    <row r="18" spans="1:6" x14ac:dyDescent="0.25">
      <c r="A18" s="15" t="s">
        <v>4</v>
      </c>
      <c r="B18" s="17" t="s">
        <v>86</v>
      </c>
      <c r="C18" t="s">
        <v>97</v>
      </c>
      <c r="D18" t="s">
        <v>72</v>
      </c>
      <c r="E18">
        <v>70</v>
      </c>
      <c r="F18">
        <v>1300</v>
      </c>
    </row>
    <row r="19" spans="1:6" x14ac:dyDescent="0.25">
      <c r="A19" s="15" t="s">
        <v>4</v>
      </c>
      <c r="B19" s="17" t="s">
        <v>86</v>
      </c>
      <c r="C19" t="s">
        <v>98</v>
      </c>
      <c r="D19" t="s">
        <v>72</v>
      </c>
      <c r="E19">
        <v>60</v>
      </c>
      <c r="F19">
        <v>2200</v>
      </c>
    </row>
    <row r="20" spans="1:6" x14ac:dyDescent="0.25">
      <c r="A20" s="15" t="s">
        <v>4</v>
      </c>
      <c r="B20" s="17" t="s">
        <v>86</v>
      </c>
      <c r="C20" t="s">
        <v>99</v>
      </c>
      <c r="D20" t="s">
        <v>72</v>
      </c>
      <c r="E20">
        <v>55</v>
      </c>
      <c r="F20">
        <v>3300</v>
      </c>
    </row>
    <row r="21" spans="1:6" x14ac:dyDescent="0.25">
      <c r="A21" s="15" t="s">
        <v>4</v>
      </c>
      <c r="B21" s="17" t="s">
        <v>86</v>
      </c>
      <c r="C21" t="s">
        <v>100</v>
      </c>
      <c r="D21" t="s">
        <v>72</v>
      </c>
      <c r="E21">
        <v>110</v>
      </c>
      <c r="F21" s="18">
        <f>=PARAM!$C$13</f>
        <v>2600</v>
      </c>
    </row>
    <row r="22" spans="1:6" x14ac:dyDescent="0.25">
      <c r="A22" s="15" t="s">
        <v>4</v>
      </c>
      <c r="B22" s="17" t="s">
        <v>86</v>
      </c>
      <c r="C22" t="s">
        <v>101</v>
      </c>
      <c r="D22" t="s">
        <v>72</v>
      </c>
      <c r="E22">
        <v>65</v>
      </c>
      <c r="F22">
        <v>1300</v>
      </c>
    </row>
    <row r="23" spans="1:6" x14ac:dyDescent="0.25">
      <c r="A23" s="15" t="s">
        <v>4</v>
      </c>
      <c r="B23" s="17" t="s">
        <v>86</v>
      </c>
      <c r="C23" t="s">
        <v>102</v>
      </c>
      <c r="D23" t="s">
        <v>72</v>
      </c>
      <c r="E23">
        <v>60</v>
      </c>
      <c r="F23">
        <v>2000</v>
      </c>
    </row>
    <row r="24" spans="1:6" x14ac:dyDescent="0.25">
      <c r="A24" s="15" t="s">
        <v>4</v>
      </c>
      <c r="B24" s="17" t="s">
        <v>86</v>
      </c>
      <c r="C24" t="s">
        <v>103</v>
      </c>
      <c r="D24" t="s">
        <v>72</v>
      </c>
      <c r="E24">
        <v>70</v>
      </c>
      <c r="F24">
        <v>1600</v>
      </c>
    </row>
    <row r="25" spans="1:6" x14ac:dyDescent="0.25">
      <c r="A25" s="15" t="s">
        <v>4</v>
      </c>
      <c r="B25" s="17" t="s">
        <v>86</v>
      </c>
      <c r="C25" t="s">
        <v>104</v>
      </c>
      <c r="D25" t="s">
        <v>72</v>
      </c>
      <c r="E25">
        <v>60</v>
      </c>
      <c r="F25">
        <v>2400</v>
      </c>
    </row>
    <row r="26" spans="1:6" x14ac:dyDescent="0.25">
      <c r="A26" s="15" t="s">
        <v>105</v>
      </c>
      <c r="B26" s="17" t="s">
        <v>86</v>
      </c>
      <c r="C26" t="s">
        <v>106</v>
      </c>
      <c r="D26" t="s">
        <v>107</v>
      </c>
      <c r="E26">
        <v>70</v>
      </c>
      <c r="F26">
        <v>26000</v>
      </c>
    </row>
    <row r="27" spans="1:6" x14ac:dyDescent="0.25">
      <c r="A27" s="15" t="s">
        <v>4</v>
      </c>
      <c r="B27" s="17" t="s">
        <v>86</v>
      </c>
      <c r="C27" t="s">
        <v>108</v>
      </c>
      <c r="D27" t="s">
        <v>72</v>
      </c>
      <c r="E27">
        <v>80</v>
      </c>
      <c r="F27">
        <v>800</v>
      </c>
    </row>
    <row r="28" spans="1:6" x14ac:dyDescent="0.25">
      <c r="A28" s="15" t="s">
        <v>4</v>
      </c>
      <c r="B28" s="17" t="s">
        <v>86</v>
      </c>
      <c r="C28" t="s">
        <v>109</v>
      </c>
      <c r="D28" t="s">
        <v>90</v>
      </c>
      <c r="E28">
        <v>26</v>
      </c>
      <c r="F28">
        <v>26000</v>
      </c>
    </row>
    <row r="29" spans="1:6" x14ac:dyDescent="0.25">
      <c r="A29" s="15" t="s">
        <v>4</v>
      </c>
      <c r="B29" s="17" t="s">
        <v>86</v>
      </c>
      <c r="C29" t="s">
        <v>110</v>
      </c>
      <c r="D29" t="s">
        <v>90</v>
      </c>
      <c r="E29">
        <v>34</v>
      </c>
      <c r="F29">
        <v>4800</v>
      </c>
    </row>
    <row r="30" spans="1:6" x14ac:dyDescent="0.25">
      <c r="A30" s="15" t="s">
        <v>4</v>
      </c>
      <c r="B30" s="17" t="s">
        <v>86</v>
      </c>
      <c r="C30" t="s">
        <v>111</v>
      </c>
      <c r="D30" t="s">
        <v>90</v>
      </c>
      <c r="E30">
        <v>40</v>
      </c>
      <c r="F30">
        <v>1050</v>
      </c>
    </row>
    <row r="31" spans="1:6" x14ac:dyDescent="0.25">
      <c r="A31" s="15" t="s">
        <v>4</v>
      </c>
      <c r="B31" s="17" t="s">
        <v>86</v>
      </c>
      <c r="C31" t="s">
        <v>112</v>
      </c>
      <c r="D31" t="s">
        <v>72</v>
      </c>
      <c r="E31">
        <v>150</v>
      </c>
      <c r="F31">
        <v>700</v>
      </c>
    </row>
    <row r="32" spans="1:6" x14ac:dyDescent="0.25">
      <c r="A32" s="15" t="s">
        <v>4</v>
      </c>
      <c r="B32" s="17" t="s">
        <v>86</v>
      </c>
      <c r="C32" t="s">
        <v>113</v>
      </c>
      <c r="D32" t="s">
        <v>72</v>
      </c>
      <c r="E32">
        <v>90</v>
      </c>
      <c r="F32">
        <v>900</v>
      </c>
    </row>
    <row r="33" spans="1:6" x14ac:dyDescent="0.25">
      <c r="A33" s="15" t="s">
        <v>4</v>
      </c>
      <c r="B33" s="17" t="s">
        <v>86</v>
      </c>
      <c r="C33" t="s">
        <v>114</v>
      </c>
      <c r="D33" t="s">
        <v>72</v>
      </c>
      <c r="E33">
        <v>420</v>
      </c>
      <c r="F33">
        <v>1300</v>
      </c>
    </row>
    <row r="35" spans="1:11" x14ac:dyDescent="0.25">
      <c r="A35" s="15" t="s">
        <v>4</v>
      </c>
      <c r="B35" s="16" t="s">
        <v>115</v>
      </c>
      <c r="C35" t="s">
        <v>57</v>
      </c>
      <c r="D35" t="s">
        <v>58</v>
      </c>
      <c r="E35" t="s">
        <v>116</v>
      </c>
      <c r="F35" t="s">
        <v>117</v>
      </c>
      <c r="G35" t="s">
        <v>61</v>
      </c>
      <c r="H35" t="s">
        <v>118</v>
      </c>
      <c r="I35" t="s">
        <v>119</v>
      </c>
      <c r="J35" t="s">
        <v>120</v>
      </c>
      <c r="K35" t="s">
        <v>121</v>
      </c>
    </row>
    <row r="36" spans="1:9" x14ac:dyDescent="0.25">
      <c r="A36" s="15" t="s">
        <v>4</v>
      </c>
      <c r="B36" s="17" t="s">
        <v>122</v>
      </c>
      <c r="C36" t="s">
        <v>123</v>
      </c>
      <c r="D36" t="s">
        <v>72</v>
      </c>
      <c r="E36">
        <v>50</v>
      </c>
      <c r="F36" t="s">
        <v>124</v>
      </c>
      <c r="G36" t="s">
        <v>81</v>
      </c>
      <c r="H36">
        <v>1900</v>
      </c>
      <c r="I36">
        <v>1900</v>
      </c>
    </row>
    <row r="37" spans="1:9" x14ac:dyDescent="0.25">
      <c r="A37" s="15" t="s">
        <v>4</v>
      </c>
      <c r="B37" s="17" t="s">
        <v>122</v>
      </c>
      <c r="C37" t="s">
        <v>125</v>
      </c>
      <c r="D37" t="s">
        <v>72</v>
      </c>
      <c r="E37">
        <v>60</v>
      </c>
      <c r="F37" t="s">
        <v>124</v>
      </c>
      <c r="G37" t="s">
        <v>81</v>
      </c>
      <c r="H37">
        <v>900</v>
      </c>
      <c r="I37">
        <v>900</v>
      </c>
    </row>
    <row r="38" spans="1:8" x14ac:dyDescent="0.25">
      <c r="A38" s="15" t="s">
        <v>4</v>
      </c>
      <c r="B38" s="17" t="s">
        <v>122</v>
      </c>
      <c r="C38" t="s">
        <v>126</v>
      </c>
      <c r="D38" t="s">
        <v>72</v>
      </c>
      <c r="E38">
        <v>120</v>
      </c>
      <c r="F38" t="s">
        <v>127</v>
      </c>
      <c r="G38" t="s">
        <v>81</v>
      </c>
      <c r="H38">
        <v>2400</v>
      </c>
    </row>
    <row r="39" spans="1:8" x14ac:dyDescent="0.25">
      <c r="A39" s="15" t="s">
        <v>4</v>
      </c>
      <c r="B39" s="17" t="s">
        <v>122</v>
      </c>
      <c r="C39" t="s">
        <v>128</v>
      </c>
      <c r="D39" t="s">
        <v>72</v>
      </c>
      <c r="E39">
        <v>120</v>
      </c>
      <c r="F39" t="s">
        <v>127</v>
      </c>
      <c r="G39" t="s">
        <v>81</v>
      </c>
      <c r="H39">
        <v>1900</v>
      </c>
    </row>
    <row r="40" spans="1:9" x14ac:dyDescent="0.25">
      <c r="A40" s="15" t="s">
        <v>4</v>
      </c>
      <c r="B40" s="17" t="s">
        <v>122</v>
      </c>
      <c r="C40" t="s">
        <v>129</v>
      </c>
      <c r="D40" t="s">
        <v>72</v>
      </c>
      <c r="E40">
        <v>30</v>
      </c>
      <c r="F40" t="s">
        <v>124</v>
      </c>
      <c r="G40" t="s">
        <v>81</v>
      </c>
      <c r="H40">
        <v>3800</v>
      </c>
      <c r="I40">
        <v>2600</v>
      </c>
    </row>
    <row r="41" spans="1:9" x14ac:dyDescent="0.25">
      <c r="A41" s="15" t="s">
        <v>4</v>
      </c>
      <c r="B41" s="17" t="s">
        <v>122</v>
      </c>
      <c r="C41" t="s">
        <v>130</v>
      </c>
      <c r="D41" t="s">
        <v>72</v>
      </c>
      <c r="E41">
        <v>350</v>
      </c>
      <c r="F41" t="s">
        <v>124</v>
      </c>
      <c r="G41" t="s">
        <v>81</v>
      </c>
      <c r="H41">
        <v>650</v>
      </c>
      <c r="I41">
        <v>500</v>
      </c>
    </row>
    <row r="42" spans="1:9" x14ac:dyDescent="0.25">
      <c r="A42" s="15" t="s">
        <v>4</v>
      </c>
      <c r="B42" s="17" t="s">
        <v>122</v>
      </c>
      <c r="C42" t="s">
        <v>131</v>
      </c>
      <c r="D42" t="s">
        <v>72</v>
      </c>
      <c r="E42">
        <v>40</v>
      </c>
      <c r="F42" t="s">
        <v>124</v>
      </c>
      <c r="G42" t="s">
        <v>81</v>
      </c>
      <c r="H42">
        <v>900</v>
      </c>
      <c r="I42">
        <v>900</v>
      </c>
    </row>
    <row r="43" spans="1:11" x14ac:dyDescent="0.25">
      <c r="A43" s="15" t="s">
        <v>4</v>
      </c>
      <c r="B43" s="17" t="s">
        <v>122</v>
      </c>
      <c r="C43" t="s">
        <v>132</v>
      </c>
      <c r="D43" t="s">
        <v>72</v>
      </c>
      <c r="E43">
        <v>30</v>
      </c>
      <c r="F43" t="s">
        <v>133</v>
      </c>
      <c r="G43" t="s">
        <v>74</v>
      </c>
      <c r="H43">
        <v>1000</v>
      </c>
      <c r="I43">
        <v>320</v>
      </c>
      <c r="J43">
        <v>760</v>
      </c>
      <c r="K43">
        <v>340</v>
      </c>
    </row>
    <row r="44" spans="1:9" x14ac:dyDescent="0.25">
      <c r="A44" s="15" t="s">
        <v>4</v>
      </c>
      <c r="B44" s="17" t="s">
        <v>122</v>
      </c>
      <c r="C44" t="s">
        <v>134</v>
      </c>
      <c r="D44" t="s">
        <v>72</v>
      </c>
      <c r="E44">
        <v>40</v>
      </c>
      <c r="F44" t="s">
        <v>124</v>
      </c>
      <c r="G44" t="s">
        <v>81</v>
      </c>
      <c r="H44">
        <v>900</v>
      </c>
      <c r="I44">
        <v>500</v>
      </c>
    </row>
    <row r="45" spans="1:11" x14ac:dyDescent="0.25">
      <c r="A45" s="15" t="s">
        <v>4</v>
      </c>
      <c r="B45" s="17" t="s">
        <v>122</v>
      </c>
      <c r="C45" t="s">
        <v>135</v>
      </c>
      <c r="D45" t="s">
        <v>72</v>
      </c>
      <c r="E45">
        <v>25</v>
      </c>
      <c r="F45" t="s">
        <v>133</v>
      </c>
      <c r="G45" t="s">
        <v>74</v>
      </c>
      <c r="H45">
        <v>2050</v>
      </c>
      <c r="I45">
        <v>900</v>
      </c>
      <c r="J45">
        <v>1450</v>
      </c>
      <c r="K45">
        <v>0</v>
      </c>
    </row>
    <row r="46" spans="1:11" x14ac:dyDescent="0.25">
      <c r="A46" s="15" t="s">
        <v>4</v>
      </c>
      <c r="B46" s="17" t="s">
        <v>122</v>
      </c>
      <c r="C46" t="s">
        <v>136</v>
      </c>
      <c r="D46" t="s">
        <v>72</v>
      </c>
      <c r="E46">
        <v>25</v>
      </c>
      <c r="F46" t="s">
        <v>133</v>
      </c>
      <c r="G46" t="s">
        <v>74</v>
      </c>
      <c r="H46">
        <v>1750</v>
      </c>
      <c r="I46">
        <v>800</v>
      </c>
      <c r="J46">
        <v>1250</v>
      </c>
      <c r="K46">
        <v>0</v>
      </c>
    </row>
    <row r="47" spans="1:9" x14ac:dyDescent="0.25">
      <c r="A47" s="15" t="s">
        <v>137</v>
      </c>
      <c r="B47" s="17" t="s">
        <v>122</v>
      </c>
      <c r="C47" t="s">
        <v>138</v>
      </c>
      <c r="D47" t="s">
        <v>72</v>
      </c>
      <c r="E47">
        <v>150</v>
      </c>
      <c r="F47" t="s">
        <v>124</v>
      </c>
      <c r="G47" t="s">
        <v>81</v>
      </c>
      <c r="H47">
        <v>2100</v>
      </c>
      <c r="I47">
        <v>1500</v>
      </c>
    </row>
    <row r="48" spans="1:9" x14ac:dyDescent="0.25">
      <c r="A48" s="15" t="s">
        <v>4</v>
      </c>
      <c r="B48" s="17" t="s">
        <v>122</v>
      </c>
      <c r="C48" t="s">
        <v>139</v>
      </c>
      <c r="D48" t="s">
        <v>72</v>
      </c>
      <c r="E48">
        <v>30</v>
      </c>
      <c r="F48" t="s">
        <v>124</v>
      </c>
      <c r="G48" t="s">
        <v>81</v>
      </c>
      <c r="H48">
        <v>1300</v>
      </c>
      <c r="I48">
        <v>900</v>
      </c>
    </row>
    <row r="49" spans="1:9" x14ac:dyDescent="0.25">
      <c r="A49" s="15" t="s">
        <v>4</v>
      </c>
      <c r="B49" s="17" t="s">
        <v>122</v>
      </c>
      <c r="C49" t="s">
        <v>140</v>
      </c>
      <c r="D49" t="s">
        <v>72</v>
      </c>
      <c r="E49">
        <v>10</v>
      </c>
      <c r="F49" t="s">
        <v>124</v>
      </c>
      <c r="G49" t="s">
        <v>81</v>
      </c>
      <c r="H49">
        <v>5200</v>
      </c>
      <c r="I49">
        <v>2000</v>
      </c>
    </row>
    <row r="50" spans="1:8" x14ac:dyDescent="0.25">
      <c r="A50" s="15" t="s">
        <v>4</v>
      </c>
      <c r="B50" s="17" t="s">
        <v>122</v>
      </c>
      <c r="C50" t="s">
        <v>141</v>
      </c>
      <c r="D50" t="s">
        <v>72</v>
      </c>
      <c r="E50">
        <v>50</v>
      </c>
      <c r="F50" t="s">
        <v>127</v>
      </c>
      <c r="G50" t="s">
        <v>81</v>
      </c>
      <c r="H50">
        <v>900</v>
      </c>
    </row>
    <row r="51" spans="1:9" x14ac:dyDescent="0.25">
      <c r="A51" s="15" t="s">
        <v>4</v>
      </c>
      <c r="B51" s="17" t="s">
        <v>122</v>
      </c>
      <c r="C51" t="s">
        <v>142</v>
      </c>
      <c r="D51" t="s">
        <v>72</v>
      </c>
      <c r="E51">
        <v>380</v>
      </c>
      <c r="F51" t="s">
        <v>124</v>
      </c>
      <c r="G51" t="s">
        <v>81</v>
      </c>
      <c r="H51">
        <v>650</v>
      </c>
      <c r="I51">
        <v>550</v>
      </c>
    </row>
    <row r="52" spans="1:9" x14ac:dyDescent="0.25">
      <c r="A52" s="15" t="s">
        <v>4</v>
      </c>
      <c r="B52" s="17" t="s">
        <v>122</v>
      </c>
      <c r="C52" t="s">
        <v>143</v>
      </c>
      <c r="D52" t="s">
        <v>90</v>
      </c>
      <c r="E52">
        <v>6</v>
      </c>
      <c r="F52" t="s">
        <v>124</v>
      </c>
      <c r="G52" t="s">
        <v>81</v>
      </c>
      <c r="H52">
        <v>1900</v>
      </c>
      <c r="I52">
        <v>2080</v>
      </c>
    </row>
    <row r="53" spans="1:9" x14ac:dyDescent="0.25">
      <c r="A53" s="15" t="s">
        <v>4</v>
      </c>
      <c r="B53" s="17" t="s">
        <v>122</v>
      </c>
      <c r="C53" t="s">
        <v>144</v>
      </c>
      <c r="D53" t="s">
        <v>90</v>
      </c>
      <c r="E53">
        <v>6</v>
      </c>
      <c r="F53" t="s">
        <v>124</v>
      </c>
      <c r="G53" t="s">
        <v>81</v>
      </c>
      <c r="H53">
        <v>1900</v>
      </c>
      <c r="I53">
        <v>2180</v>
      </c>
    </row>
    <row r="54" spans="1:9" x14ac:dyDescent="0.25">
      <c r="A54" s="15" t="s">
        <v>4</v>
      </c>
      <c r="B54" s="17" t="s">
        <v>122</v>
      </c>
      <c r="C54" t="s">
        <v>145</v>
      </c>
      <c r="D54" t="s">
        <v>146</v>
      </c>
      <c r="E54">
        <v>8</v>
      </c>
      <c r="F54" t="s">
        <v>124</v>
      </c>
      <c r="G54" t="s">
        <v>81</v>
      </c>
      <c r="H54">
        <v>2080</v>
      </c>
      <c r="I54">
        <v>2180</v>
      </c>
    </row>
    <row r="55" spans="1:9" x14ac:dyDescent="0.25">
      <c r="A55" s="15" t="s">
        <v>4</v>
      </c>
      <c r="B55" s="17" t="s">
        <v>122</v>
      </c>
      <c r="C55" t="s">
        <v>147</v>
      </c>
      <c r="D55" t="s">
        <v>72</v>
      </c>
      <c r="E55">
        <v>25</v>
      </c>
      <c r="F55" t="s">
        <v>124</v>
      </c>
      <c r="G55" t="s">
        <v>81</v>
      </c>
      <c r="H55">
        <v>1400</v>
      </c>
      <c r="I55">
        <v>1600</v>
      </c>
    </row>
    <row r="56" spans="1:8" x14ac:dyDescent="0.25">
      <c r="A56" s="15" t="s">
        <v>4</v>
      </c>
      <c r="B56" s="17" t="s">
        <v>122</v>
      </c>
      <c r="C56" t="s">
        <v>148</v>
      </c>
      <c r="D56" t="s">
        <v>72</v>
      </c>
      <c r="E56">
        <v>90</v>
      </c>
      <c r="F56" t="s">
        <v>127</v>
      </c>
      <c r="G56" t="s">
        <v>81</v>
      </c>
      <c r="H56">
        <v>320</v>
      </c>
    </row>
    <row r="57" spans="1:11" x14ac:dyDescent="0.25">
      <c r="A57" s="15" t="s">
        <v>4</v>
      </c>
      <c r="B57" s="17" t="s">
        <v>122</v>
      </c>
      <c r="C57" t="s">
        <v>149</v>
      </c>
      <c r="D57" t="s">
        <v>72</v>
      </c>
      <c r="E57">
        <v>30</v>
      </c>
      <c r="F57" t="s">
        <v>133</v>
      </c>
      <c r="G57" t="s">
        <v>74</v>
      </c>
      <c r="H57">
        <v>1200</v>
      </c>
      <c r="I57">
        <v>700</v>
      </c>
      <c r="J57">
        <v>1000</v>
      </c>
      <c r="K57">
        <v>250</v>
      </c>
    </row>
    <row r="58" spans="1:8" x14ac:dyDescent="0.25">
      <c r="A58" s="15" t="s">
        <v>4</v>
      </c>
      <c r="B58" s="17" t="s">
        <v>122</v>
      </c>
      <c r="C58" t="s">
        <v>150</v>
      </c>
      <c r="D58" t="s">
        <v>72</v>
      </c>
      <c r="E58">
        <v>50</v>
      </c>
      <c r="F58" t="s">
        <v>127</v>
      </c>
      <c r="G58" t="s">
        <v>81</v>
      </c>
      <c r="H58">
        <v>620</v>
      </c>
    </row>
    <row r="59" spans="1:11" x14ac:dyDescent="0.25">
      <c r="A59" s="15" t="s">
        <v>4</v>
      </c>
      <c r="B59" s="17" t="s">
        <v>122</v>
      </c>
      <c r="C59" t="s">
        <v>151</v>
      </c>
      <c r="D59" t="s">
        <v>72</v>
      </c>
      <c r="E59">
        <v>90</v>
      </c>
      <c r="F59" t="s">
        <v>133</v>
      </c>
      <c r="G59" t="s">
        <v>74</v>
      </c>
      <c r="H59">
        <v>900</v>
      </c>
      <c r="I59">
        <v>250</v>
      </c>
      <c r="J59">
        <v>1200</v>
      </c>
      <c r="K59">
        <v>325</v>
      </c>
    </row>
    <row r="61" spans="1:6" x14ac:dyDescent="0.25">
      <c r="A61" s="15" t="s">
        <v>4</v>
      </c>
      <c r="B61" s="16" t="s">
        <v>152</v>
      </c>
      <c r="C61" t="s">
        <v>57</v>
      </c>
      <c r="D61" t="s">
        <v>117</v>
      </c>
      <c r="E61" t="s">
        <v>61</v>
      </c>
      <c r="F61" t="s">
        <v>153</v>
      </c>
    </row>
    <row r="62" spans="1:6" x14ac:dyDescent="0.25">
      <c r="A62" s="15" t="s">
        <v>4</v>
      </c>
      <c r="B62" s="17" t="s">
        <v>154</v>
      </c>
      <c r="C62" t="s">
        <v>155</v>
      </c>
      <c r="D62" t="s">
        <v>127</v>
      </c>
      <c r="E62" t="s">
        <v>81</v>
      </c>
      <c r="F62">
        <v>1700</v>
      </c>
    </row>
    <row r="63" spans="1:6" x14ac:dyDescent="0.25">
      <c r="A63" s="15" t="s">
        <v>4</v>
      </c>
      <c r="B63" s="17" t="s">
        <v>154</v>
      </c>
      <c r="C63" t="s">
        <v>156</v>
      </c>
      <c r="D63" t="s">
        <v>127</v>
      </c>
      <c r="E63" t="s">
        <v>81</v>
      </c>
      <c r="F63">
        <v>1500</v>
      </c>
    </row>
    <row r="64" spans="1:6" x14ac:dyDescent="0.25">
      <c r="A64" s="15" t="s">
        <v>4</v>
      </c>
      <c r="B64" s="17" t="s">
        <v>154</v>
      </c>
      <c r="C64" t="s">
        <v>157</v>
      </c>
      <c r="D64" t="s">
        <v>127</v>
      </c>
      <c r="E64" t="s">
        <v>81</v>
      </c>
      <c r="F64">
        <v>52</v>
      </c>
    </row>
    <row r="65" spans="1:6" x14ac:dyDescent="0.25">
      <c r="A65" s="15" t="s">
        <v>4</v>
      </c>
      <c r="B65" s="17" t="s">
        <v>154</v>
      </c>
      <c r="C65" t="s">
        <v>158</v>
      </c>
      <c r="D65" t="s">
        <v>127</v>
      </c>
      <c r="E65" t="s">
        <v>81</v>
      </c>
      <c r="F65">
        <v>95</v>
      </c>
    </row>
    <row r="66" spans="1:6" x14ac:dyDescent="0.25">
      <c r="A66" s="15" t="s">
        <v>4</v>
      </c>
      <c r="B66" s="17" t="s">
        <v>154</v>
      </c>
      <c r="C66" t="s">
        <v>159</v>
      </c>
      <c r="D66" t="s">
        <v>127</v>
      </c>
      <c r="E66" t="s">
        <v>81</v>
      </c>
      <c r="F66">
        <v>130</v>
      </c>
    </row>
    <row r="68" spans="1:9" x14ac:dyDescent="0.25">
      <c r="A68" s="15" t="s">
        <v>160</v>
      </c>
      <c r="B68" s="16" t="s">
        <v>161</v>
      </c>
      <c r="C68" t="s">
        <v>162</v>
      </c>
      <c r="D68" t="s">
        <v>163</v>
      </c>
      <c r="E68" t="s">
        <v>164</v>
      </c>
      <c r="F68" t="s">
        <v>117</v>
      </c>
      <c r="G68" t="s">
        <v>165</v>
      </c>
      <c r="H68" t="s">
        <v>166</v>
      </c>
      <c r="I68" t="s">
        <v>167</v>
      </c>
    </row>
    <row r="69" spans="1:6" x14ac:dyDescent="0.25">
      <c r="A69" s="15" t="s">
        <v>4</v>
      </c>
      <c r="B69" s="17" t="s">
        <v>168</v>
      </c>
      <c r="C69" t="s">
        <v>126</v>
      </c>
      <c r="D69">
        <v>0</v>
      </c>
      <c r="E69">
        <v>0</v>
      </c>
      <c r="F69" t="s">
        <v>155</v>
      </c>
    </row>
    <row r="70" spans="1:6" x14ac:dyDescent="0.25">
      <c r="A70" s="15" t="s">
        <v>4</v>
      </c>
      <c r="B70" s="17" t="s">
        <v>168</v>
      </c>
      <c r="C70" t="s">
        <v>128</v>
      </c>
      <c r="D70">
        <v>0</v>
      </c>
      <c r="E70">
        <v>0</v>
      </c>
      <c r="F70" t="s">
        <v>156</v>
      </c>
    </row>
    <row r="71" spans="1:9" x14ac:dyDescent="0.25">
      <c r="A71" s="15" t="s">
        <v>4</v>
      </c>
      <c r="B71" s="17" t="s">
        <v>168</v>
      </c>
      <c r="C71" t="s">
        <v>125</v>
      </c>
      <c r="D71">
        <v>-280</v>
      </c>
      <c r="E71">
        <v>-280</v>
      </c>
      <c r="F71" t="s">
        <v>157</v>
      </c>
      <c r="G71">
        <v>560</v>
      </c>
      <c r="H71">
        <v>0</v>
      </c>
      <c r="I71">
        <v>1</v>
      </c>
    </row>
    <row r="72" spans="1:9" x14ac:dyDescent="0.25">
      <c r="A72" s="15" t="s">
        <v>4</v>
      </c>
      <c r="B72" s="17" t="s">
        <v>168</v>
      </c>
      <c r="C72" t="s">
        <v>125</v>
      </c>
      <c r="D72">
        <v>-280</v>
      </c>
      <c r="E72">
        <v>280</v>
      </c>
      <c r="F72" t="s">
        <v>157</v>
      </c>
      <c r="G72">
        <v>560</v>
      </c>
      <c r="H72">
        <v>0</v>
      </c>
      <c r="I72">
        <v>1</v>
      </c>
    </row>
    <row r="73" spans="1:6" x14ac:dyDescent="0.25">
      <c r="A73" s="15" t="s">
        <v>4</v>
      </c>
      <c r="B73" s="17" t="s">
        <v>168</v>
      </c>
      <c r="C73" t="s">
        <v>148</v>
      </c>
      <c r="D73">
        <v>0</v>
      </c>
      <c r="E73">
        <v>0</v>
      </c>
      <c r="F73" t="s">
        <v>158</v>
      </c>
    </row>
    <row r="74" spans="1:6" x14ac:dyDescent="0.25">
      <c r="A74" s="15" t="s">
        <v>4</v>
      </c>
      <c r="B74" s="17" t="s">
        <v>168</v>
      </c>
      <c r="C74" t="s">
        <v>150</v>
      </c>
      <c r="D74">
        <v>0</v>
      </c>
      <c r="E74">
        <v>0</v>
      </c>
      <c r="F74" t="s">
        <v>158</v>
      </c>
    </row>
    <row r="75" spans="1:6" x14ac:dyDescent="0.25">
      <c r="A75" s="15" t="s">
        <v>4</v>
      </c>
      <c r="B75" s="17" t="s">
        <v>168</v>
      </c>
      <c r="C75" t="s">
        <v>132</v>
      </c>
      <c r="D75">
        <v>760</v>
      </c>
      <c r="E75">
        <v>420</v>
      </c>
      <c r="F75" t="s">
        <v>159</v>
      </c>
    </row>
    <row r="76" spans="1:6" x14ac:dyDescent="0.25">
      <c r="A76" s="15" t="s">
        <v>4</v>
      </c>
      <c r="B76" s="17" t="s">
        <v>168</v>
      </c>
      <c r="C76" t="s">
        <v>134</v>
      </c>
      <c r="D76">
        <v>0</v>
      </c>
      <c r="E76">
        <v>0</v>
      </c>
      <c r="F76" t="s">
        <v>159</v>
      </c>
    </row>
    <row r="78" spans="1:14" x14ac:dyDescent="0.25">
      <c r="A78" s="15" t="s">
        <v>4</v>
      </c>
      <c r="B78" s="16" t="s">
        <v>169</v>
      </c>
      <c r="C78" t="s">
        <v>57</v>
      </c>
      <c r="D78" t="s">
        <v>170</v>
      </c>
      <c r="E78" t="s">
        <v>171</v>
      </c>
      <c r="F78" t="s">
        <v>172</v>
      </c>
      <c r="G78" t="s">
        <v>173</v>
      </c>
      <c r="H78" t="s">
        <v>174</v>
      </c>
      <c r="I78" t="s">
        <v>175</v>
      </c>
      <c r="J78" t="s">
        <v>176</v>
      </c>
      <c r="K78" t="s">
        <v>177</v>
      </c>
      <c r="L78" t="s">
        <v>178</v>
      </c>
      <c r="M78" t="s">
        <v>179</v>
      </c>
      <c r="N78" t="s">
        <v>180</v>
      </c>
    </row>
    <row r="79" spans="1:14" x14ac:dyDescent="0.25">
      <c r="A79" s="15" t="s">
        <v>181</v>
      </c>
      <c r="B79" s="17" t="s">
        <v>182</v>
      </c>
      <c r="C79" t="s">
        <v>183</v>
      </c>
      <c r="D79" t="s">
        <v>184</v>
      </c>
      <c r="E79" t="s">
        <v>4</v>
      </c>
      <c r="F79">
        <v>-800</v>
      </c>
      <c r="G79">
        <v>-800</v>
      </c>
      <c r="H79">
        <v>0</v>
      </c>
      <c r="I79">
        <v>-800</v>
      </c>
      <c r="J79">
        <v>-800</v>
      </c>
      <c r="K79" s="18">
        <f>=PARAM!$C$6</f>
        <v>2400</v>
      </c>
      <c r="L79" t="s">
        <v>4</v>
      </c>
      <c r="M79" t="s">
        <v>4</v>
      </c>
      <c r="N79" t="s">
        <v>4</v>
      </c>
    </row>
    <row r="80" spans="1:14" x14ac:dyDescent="0.25">
      <c r="A80" s="15" t="s">
        <v>4</v>
      </c>
      <c r="B80" s="17" t="s">
        <v>182</v>
      </c>
      <c r="C80" t="s">
        <v>183</v>
      </c>
      <c r="D80" t="s">
        <v>185</v>
      </c>
      <c r="E80" t="s">
        <v>4</v>
      </c>
      <c r="F80">
        <v>800</v>
      </c>
      <c r="G80">
        <v>-800</v>
      </c>
      <c r="H80">
        <v>0</v>
      </c>
      <c r="I80">
        <v>800</v>
      </c>
      <c r="J80">
        <v>-800</v>
      </c>
      <c r="K80" s="18">
        <f>=PARAM!$C$6</f>
        <v>2400</v>
      </c>
      <c r="L80" t="s">
        <v>4</v>
      </c>
      <c r="M80" t="s">
        <v>4</v>
      </c>
      <c r="N80">
        <v>90</v>
      </c>
    </row>
    <row r="81" spans="1:14" x14ac:dyDescent="0.25">
      <c r="A81" s="15" t="s">
        <v>4</v>
      </c>
      <c r="B81" s="17" t="s">
        <v>182</v>
      </c>
      <c r="C81" t="s">
        <v>183</v>
      </c>
      <c r="D81" t="s">
        <v>186</v>
      </c>
      <c r="E81" t="s">
        <v>4</v>
      </c>
      <c r="F81">
        <v>800</v>
      </c>
      <c r="G81">
        <v>800</v>
      </c>
      <c r="H81">
        <v>0</v>
      </c>
      <c r="I81">
        <v>800</v>
      </c>
      <c r="J81">
        <v>800</v>
      </c>
      <c r="K81" s="18">
        <f>=PARAM!$C$6</f>
        <v>2400</v>
      </c>
      <c r="L81" t="s">
        <v>4</v>
      </c>
      <c r="M81" t="s">
        <v>4</v>
      </c>
      <c r="N81">
        <v>180</v>
      </c>
    </row>
    <row r="82" spans="1:14" x14ac:dyDescent="0.25">
      <c r="A82" s="15" t="s">
        <v>4</v>
      </c>
      <c r="B82" s="17" t="s">
        <v>182</v>
      </c>
      <c r="C82" t="s">
        <v>183</v>
      </c>
      <c r="D82" t="s">
        <v>187</v>
      </c>
      <c r="E82" t="s">
        <v>4</v>
      </c>
      <c r="F82">
        <v>-800</v>
      </c>
      <c r="G82">
        <v>800</v>
      </c>
      <c r="H82">
        <v>0</v>
      </c>
      <c r="I82">
        <v>-800</v>
      </c>
      <c r="J82">
        <v>800</v>
      </c>
      <c r="K82" s="18">
        <f>=PARAM!$C$6</f>
        <v>2400</v>
      </c>
      <c r="L82" t="s">
        <v>4</v>
      </c>
      <c r="M82" t="s">
        <v>4</v>
      </c>
      <c r="N82">
        <v>270</v>
      </c>
    </row>
    <row r="83" spans="1:14" x14ac:dyDescent="0.25">
      <c r="A83" s="15" t="s">
        <v>4</v>
      </c>
      <c r="B83" s="17" t="s">
        <v>182</v>
      </c>
      <c r="C83" t="s">
        <v>183</v>
      </c>
      <c r="D83" t="s">
        <v>188</v>
      </c>
      <c r="E83" t="s">
        <v>4</v>
      </c>
      <c r="F83">
        <v>-800</v>
      </c>
      <c r="G83">
        <v>-850</v>
      </c>
      <c r="H83" s="18">
        <f>=PARAM!$C$6</f>
        <v>2400</v>
      </c>
      <c r="I83">
        <v>800</v>
      </c>
      <c r="J83">
        <v>-850</v>
      </c>
      <c r="K83" s="18">
        <f>=PARAM!$C$6</f>
        <v>2400</v>
      </c>
      <c r="L83" t="s">
        <v>4</v>
      </c>
      <c r="M83" t="s">
        <v>4</v>
      </c>
      <c r="N83" t="s">
        <v>4</v>
      </c>
    </row>
    <row r="84" spans="1:14" x14ac:dyDescent="0.25">
      <c r="A84" s="15" t="s">
        <v>4</v>
      </c>
      <c r="B84" s="17" t="s">
        <v>182</v>
      </c>
      <c r="C84" t="s">
        <v>183</v>
      </c>
      <c r="D84" t="s">
        <v>189</v>
      </c>
      <c r="E84" t="s">
        <v>4</v>
      </c>
      <c r="F84">
        <v>850</v>
      </c>
      <c r="G84">
        <v>-800</v>
      </c>
      <c r="H84" s="18">
        <f>=PARAM!$C$6</f>
        <v>2400</v>
      </c>
      <c r="I84">
        <v>850</v>
      </c>
      <c r="J84">
        <v>800</v>
      </c>
      <c r="K84" s="18">
        <f>=PARAM!$C$6</f>
        <v>2400</v>
      </c>
      <c r="L84" t="s">
        <v>4</v>
      </c>
      <c r="M84" t="s">
        <v>4</v>
      </c>
      <c r="N84" t="s">
        <v>4</v>
      </c>
    </row>
    <row r="85" spans="1:14" x14ac:dyDescent="0.25">
      <c r="A85" s="15" t="s">
        <v>4</v>
      </c>
      <c r="B85" s="17" t="s">
        <v>182</v>
      </c>
      <c r="C85" t="s">
        <v>183</v>
      </c>
      <c r="D85" t="s">
        <v>190</v>
      </c>
      <c r="E85" t="s">
        <v>4</v>
      </c>
      <c r="F85">
        <v>800</v>
      </c>
      <c r="G85">
        <v>850</v>
      </c>
      <c r="H85" s="18">
        <f>=PARAM!$C$6</f>
        <v>2400</v>
      </c>
      <c r="I85">
        <v>-800</v>
      </c>
      <c r="J85">
        <v>850</v>
      </c>
      <c r="K85" s="18">
        <f>=PARAM!$C$6</f>
        <v>2400</v>
      </c>
      <c r="L85" t="s">
        <v>4</v>
      </c>
      <c r="M85" t="s">
        <v>4</v>
      </c>
      <c r="N85" t="s">
        <v>4</v>
      </c>
    </row>
    <row r="86" spans="1:14" x14ac:dyDescent="0.25">
      <c r="A86" s="15" t="s">
        <v>4</v>
      </c>
      <c r="B86" s="17" t="s">
        <v>182</v>
      </c>
      <c r="C86" t="s">
        <v>183</v>
      </c>
      <c r="D86" t="s">
        <v>191</v>
      </c>
      <c r="E86" t="s">
        <v>4</v>
      </c>
      <c r="F86">
        <v>-850</v>
      </c>
      <c r="G86">
        <v>800</v>
      </c>
      <c r="H86" s="18">
        <f>=PARAM!$C$6</f>
        <v>2400</v>
      </c>
      <c r="I86">
        <v>-850</v>
      </c>
      <c r="J86">
        <v>-800</v>
      </c>
      <c r="K86" s="18">
        <f>=PARAM!$C$6</f>
        <v>2400</v>
      </c>
      <c r="L86" t="s">
        <v>4</v>
      </c>
      <c r="M86" t="s">
        <v>4</v>
      </c>
      <c r="N86" t="s">
        <v>4</v>
      </c>
    </row>
    <row r="87" spans="1:14" x14ac:dyDescent="0.25">
      <c r="A87" s="15" t="s">
        <v>4</v>
      </c>
      <c r="B87" s="17" t="s">
        <v>182</v>
      </c>
      <c r="C87" t="s">
        <v>183</v>
      </c>
      <c r="D87" t="s">
        <v>192</v>
      </c>
      <c r="E87" t="s">
        <v>4</v>
      </c>
      <c r="F87">
        <v>-800</v>
      </c>
      <c r="G87">
        <v>-850</v>
      </c>
      <c r="H87">
        <v>0</v>
      </c>
      <c r="I87">
        <v>800</v>
      </c>
      <c r="J87">
        <v>-850</v>
      </c>
      <c r="K87" s="18">
        <f>=PARAM!$C$6</f>
        <v>2400</v>
      </c>
      <c r="L87">
        <v>95</v>
      </c>
      <c r="M87">
        <v>95</v>
      </c>
      <c r="N87" t="s">
        <v>4</v>
      </c>
    </row>
    <row r="88" spans="1:14" x14ac:dyDescent="0.25">
      <c r="A88" s="15" t="s">
        <v>4</v>
      </c>
      <c r="B88" s="17" t="s">
        <v>182</v>
      </c>
      <c r="C88" t="s">
        <v>183</v>
      </c>
      <c r="D88" t="s">
        <v>193</v>
      </c>
      <c r="E88" t="s">
        <v>4</v>
      </c>
      <c r="F88">
        <v>850</v>
      </c>
      <c r="G88">
        <v>-800</v>
      </c>
      <c r="H88">
        <v>0</v>
      </c>
      <c r="I88">
        <v>850</v>
      </c>
      <c r="J88">
        <v>800</v>
      </c>
      <c r="K88" s="18">
        <f>=PARAM!$C$6</f>
        <v>2400</v>
      </c>
      <c r="L88">
        <v>95</v>
      </c>
      <c r="M88">
        <v>95</v>
      </c>
      <c r="N88" t="s">
        <v>4</v>
      </c>
    </row>
    <row r="89" spans="1:14" x14ac:dyDescent="0.25">
      <c r="A89" s="15" t="s">
        <v>4</v>
      </c>
      <c r="B89" s="17" t="s">
        <v>182</v>
      </c>
      <c r="C89" t="s">
        <v>183</v>
      </c>
      <c r="D89" t="s">
        <v>194</v>
      </c>
      <c r="E89" t="s">
        <v>4</v>
      </c>
      <c r="F89">
        <v>800</v>
      </c>
      <c r="G89">
        <v>850</v>
      </c>
      <c r="H89">
        <v>0</v>
      </c>
      <c r="I89">
        <v>-800</v>
      </c>
      <c r="J89">
        <v>850</v>
      </c>
      <c r="K89" s="18">
        <f>=PARAM!$C$6</f>
        <v>2400</v>
      </c>
      <c r="L89">
        <v>95</v>
      </c>
      <c r="M89">
        <v>95</v>
      </c>
      <c r="N89" t="s">
        <v>4</v>
      </c>
    </row>
    <row r="90" spans="1:14" x14ac:dyDescent="0.25">
      <c r="A90" s="15" t="s">
        <v>4</v>
      </c>
      <c r="B90" s="17" t="s">
        <v>182</v>
      </c>
      <c r="C90" t="s">
        <v>183</v>
      </c>
      <c r="D90" t="s">
        <v>195</v>
      </c>
      <c r="E90" t="s">
        <v>4</v>
      </c>
      <c r="F90">
        <v>-850</v>
      </c>
      <c r="G90">
        <v>800</v>
      </c>
      <c r="H90">
        <v>0</v>
      </c>
      <c r="I90">
        <v>-850</v>
      </c>
      <c r="J90">
        <v>-800</v>
      </c>
      <c r="K90" s="18">
        <f>=PARAM!$C$6</f>
        <v>2400</v>
      </c>
      <c r="L90">
        <v>95</v>
      </c>
      <c r="M90">
        <v>95</v>
      </c>
      <c r="N90" t="s">
        <v>4</v>
      </c>
    </row>
    <row r="91" spans="1:14" x14ac:dyDescent="0.25">
      <c r="A91" s="15" t="s">
        <v>4</v>
      </c>
      <c r="B91" s="17" t="s">
        <v>182</v>
      </c>
      <c r="C91" t="s">
        <v>183</v>
      </c>
      <c r="D91" t="s">
        <v>196</v>
      </c>
      <c r="E91" t="s">
        <v>4</v>
      </c>
      <c r="F91">
        <v>520</v>
      </c>
      <c r="G91">
        <v>-220</v>
      </c>
      <c r="H91">
        <v>0</v>
      </c>
      <c r="I91">
        <v>520</v>
      </c>
      <c r="J91">
        <v>-220</v>
      </c>
      <c r="K91" s="18">
        <f>=PARAM!$C$6</f>
        <v>2400</v>
      </c>
      <c r="L91" t="s">
        <v>4</v>
      </c>
      <c r="M91" t="s">
        <v>4</v>
      </c>
      <c r="N91" t="s">
        <v>4</v>
      </c>
    </row>
    <row r="92" spans="1:14" x14ac:dyDescent="0.25">
      <c r="A92" s="15" t="s">
        <v>4</v>
      </c>
      <c r="B92" s="17" t="s">
        <v>182</v>
      </c>
      <c r="C92" t="s">
        <v>183</v>
      </c>
      <c r="D92" t="s">
        <v>197</v>
      </c>
      <c r="E92" t="s">
        <v>4</v>
      </c>
      <c r="F92">
        <v>520</v>
      </c>
      <c r="G92">
        <v>220</v>
      </c>
      <c r="H92">
        <v>0</v>
      </c>
      <c r="I92">
        <v>520</v>
      </c>
      <c r="J92">
        <v>220</v>
      </c>
      <c r="K92" s="18">
        <f>=PARAM!$C$6</f>
        <v>2400</v>
      </c>
      <c r="L92" t="s">
        <v>4</v>
      </c>
      <c r="M92" t="s">
        <v>4</v>
      </c>
      <c r="N92" t="s">
        <v>4</v>
      </c>
    </row>
    <row r="93" spans="1:14" x14ac:dyDescent="0.25">
      <c r="A93" s="15" t="s">
        <v>4</v>
      </c>
      <c r="B93" s="17" t="s">
        <v>182</v>
      </c>
      <c r="C93" t="s">
        <v>183</v>
      </c>
      <c r="D93" t="s">
        <v>198</v>
      </c>
      <c r="E93" t="s">
        <v>4</v>
      </c>
      <c r="F93">
        <v>520</v>
      </c>
      <c r="G93">
        <v>-220</v>
      </c>
      <c r="H93" s="18">
        <f>=PARAM!$C$6/6</f>
        <v>400</v>
      </c>
      <c r="I93">
        <v>520</v>
      </c>
      <c r="J93">
        <v>220</v>
      </c>
      <c r="K93" s="18">
        <f>=PARAM!$C$6/6</f>
        <v>400</v>
      </c>
      <c r="L93">
        <v>25</v>
      </c>
      <c r="M93">
        <v>25</v>
      </c>
      <c r="N93" t="s">
        <v>4</v>
      </c>
    </row>
    <row r="94" spans="1:14" x14ac:dyDescent="0.25">
      <c r="A94" s="15" t="s">
        <v>4</v>
      </c>
      <c r="B94" s="17" t="s">
        <v>182</v>
      </c>
      <c r="C94" t="s">
        <v>183</v>
      </c>
      <c r="D94" t="s">
        <v>199</v>
      </c>
      <c r="E94" t="s">
        <v>4</v>
      </c>
      <c r="F94">
        <v>520</v>
      </c>
      <c r="G94">
        <v>-220</v>
      </c>
      <c r="H94" s="18">
        <f>=PARAM!$C$6/2</f>
        <v>1200</v>
      </c>
      <c r="I94">
        <v>520</v>
      </c>
      <c r="J94">
        <v>220</v>
      </c>
      <c r="K94" s="18">
        <f>=PARAM!$C$6/2</f>
        <v>1200</v>
      </c>
      <c r="L94">
        <v>25</v>
      </c>
      <c r="M94">
        <v>25</v>
      </c>
      <c r="N94" t="s">
        <v>4</v>
      </c>
    </row>
    <row r="95" spans="1:14" x14ac:dyDescent="0.25">
      <c r="A95" s="15" t="s">
        <v>4</v>
      </c>
      <c r="B95" s="17" t="s">
        <v>182</v>
      </c>
      <c r="C95" t="s">
        <v>183</v>
      </c>
      <c r="D95" t="s">
        <v>200</v>
      </c>
      <c r="E95" t="s">
        <v>4</v>
      </c>
      <c r="F95">
        <v>520</v>
      </c>
      <c r="G95">
        <v>-220</v>
      </c>
      <c r="H95" s="18">
        <f>=PARAM!$C$6*5/6</f>
        <v>2000</v>
      </c>
      <c r="I95">
        <v>520</v>
      </c>
      <c r="J95">
        <v>220</v>
      </c>
      <c r="K95" s="18">
        <f>=PARAM!$C$6*5/6</f>
        <v>2000</v>
      </c>
      <c r="L95">
        <v>25</v>
      </c>
      <c r="M95">
        <v>25</v>
      </c>
      <c r="N95" t="s">
        <v>4</v>
      </c>
    </row>
    <row r="96" spans="1:12" x14ac:dyDescent="0.25">
      <c r="A96" s="15" t="s">
        <v>4</v>
      </c>
      <c r="B96" s="16" t="s">
        <v>169</v>
      </c>
      <c r="C96" t="s">
        <v>57</v>
      </c>
      <c r="D96" t="s">
        <v>170</v>
      </c>
      <c r="E96" t="s">
        <v>171</v>
      </c>
      <c r="F96" t="s">
        <v>163</v>
      </c>
      <c r="G96" t="s">
        <v>164</v>
      </c>
      <c r="H96" t="s">
        <v>201</v>
      </c>
      <c r="I96" t="s">
        <v>202</v>
      </c>
      <c r="J96" t="s">
        <v>203</v>
      </c>
      <c r="K96" t="s">
        <v>204</v>
      </c>
      <c r="L96" t="s">
        <v>205</v>
      </c>
    </row>
    <row r="97" spans="1:6" x14ac:dyDescent="0.25">
      <c r="A97" s="15" t="s">
        <v>4</v>
      </c>
      <c r="B97" s="17" t="s">
        <v>182</v>
      </c>
      <c r="C97" t="s">
        <v>183</v>
      </c>
      <c r="D97" t="s">
        <v>206</v>
      </c>
      <c r="E97" t="s">
        <v>184</v>
      </c>
      <c r="F97" t="s">
        <v>74</v>
      </c>
    </row>
    <row r="99" spans="1:12" x14ac:dyDescent="0.25">
      <c r="A99" s="15" t="s">
        <v>4</v>
      </c>
      <c r="B99" s="16" t="s">
        <v>169</v>
      </c>
      <c r="C99" t="s">
        <v>57</v>
      </c>
      <c r="D99" t="s">
        <v>170</v>
      </c>
      <c r="E99" t="s">
        <v>171</v>
      </c>
      <c r="F99" t="s">
        <v>163</v>
      </c>
      <c r="G99" t="s">
        <v>164</v>
      </c>
      <c r="H99" t="s">
        <v>201</v>
      </c>
      <c r="I99" t="s">
        <v>202</v>
      </c>
      <c r="J99" t="s">
        <v>203</v>
      </c>
      <c r="K99" t="s">
        <v>204</v>
      </c>
      <c r="L99" t="s">
        <v>205</v>
      </c>
    </row>
    <row r="100" spans="1:12" x14ac:dyDescent="0.25">
      <c r="A100" s="15" t="s">
        <v>4</v>
      </c>
      <c r="B100" s="17" t="s">
        <v>182</v>
      </c>
      <c r="C100" t="s">
        <v>207</v>
      </c>
      <c r="D100" t="s">
        <v>123</v>
      </c>
      <c r="E100" t="s">
        <v>208</v>
      </c>
      <c r="F100">
        <v>0</v>
      </c>
      <c r="G100">
        <v>0</v>
      </c>
      <c r="H100">
        <v>0</v>
      </c>
      <c r="I100" t="s">
        <v>209</v>
      </c>
      <c r="J100" t="s">
        <v>4</v>
      </c>
      <c r="K100" t="s">
        <v>4</v>
      </c>
      <c r="L100" t="s">
        <v>4</v>
      </c>
    </row>
    <row r="101" spans="1:14" x14ac:dyDescent="0.25">
      <c r="A101" s="15" t="s">
        <v>4</v>
      </c>
      <c r="B101" s="16" t="s">
        <v>169</v>
      </c>
      <c r="C101" t="s">
        <v>57</v>
      </c>
      <c r="D101" t="s">
        <v>170</v>
      </c>
      <c r="E101" t="s">
        <v>171</v>
      </c>
      <c r="F101" t="s">
        <v>172</v>
      </c>
      <c r="G101" t="s">
        <v>173</v>
      </c>
      <c r="H101" t="s">
        <v>174</v>
      </c>
      <c r="I101" t="s">
        <v>175</v>
      </c>
      <c r="J101" t="s">
        <v>176</v>
      </c>
      <c r="K101" t="s">
        <v>177</v>
      </c>
      <c r="L101" t="s">
        <v>178</v>
      </c>
      <c r="M101" t="s">
        <v>179</v>
      </c>
      <c r="N101" t="s">
        <v>180</v>
      </c>
    </row>
    <row r="102" spans="1:14" x14ac:dyDescent="0.25">
      <c r="A102" s="15" t="s">
        <v>4</v>
      </c>
      <c r="B102" s="17" t="s">
        <v>182</v>
      </c>
      <c r="C102" t="s">
        <v>207</v>
      </c>
      <c r="D102" t="s">
        <v>210</v>
      </c>
      <c r="E102" t="s">
        <v>4</v>
      </c>
      <c r="F102">
        <v>-2400</v>
      </c>
      <c r="G102">
        <v>-2400</v>
      </c>
      <c r="H102">
        <v>-400</v>
      </c>
      <c r="I102">
        <v>2400</v>
      </c>
      <c r="J102">
        <v>-2400</v>
      </c>
      <c r="K102">
        <v>-400</v>
      </c>
      <c r="L102" t="s">
        <v>4</v>
      </c>
      <c r="M102" t="s">
        <v>4</v>
      </c>
      <c r="N102" t="s">
        <v>4</v>
      </c>
    </row>
    <row r="103" spans="1:14" x14ac:dyDescent="0.25">
      <c r="A103" s="15" t="s">
        <v>4</v>
      </c>
      <c r="B103" s="17" t="s">
        <v>182</v>
      </c>
      <c r="C103" t="s">
        <v>207</v>
      </c>
      <c r="D103" t="s">
        <v>211</v>
      </c>
      <c r="E103" t="s">
        <v>4</v>
      </c>
      <c r="F103">
        <v>-2400</v>
      </c>
      <c r="G103">
        <v>2400</v>
      </c>
      <c r="H103">
        <v>-400</v>
      </c>
      <c r="I103">
        <v>2400</v>
      </c>
      <c r="J103">
        <v>2400</v>
      </c>
      <c r="K103">
        <v>-400</v>
      </c>
      <c r="L103" t="s">
        <v>4</v>
      </c>
      <c r="M103" t="s">
        <v>4</v>
      </c>
      <c r="N103" t="s">
        <v>4</v>
      </c>
    </row>
    <row r="104" spans="1:14" x14ac:dyDescent="0.25">
      <c r="A104" s="15" t="s">
        <v>4</v>
      </c>
      <c r="B104" s="17" t="s">
        <v>182</v>
      </c>
      <c r="C104" t="s">
        <v>207</v>
      </c>
      <c r="D104" t="s">
        <v>212</v>
      </c>
      <c r="E104" t="s">
        <v>4</v>
      </c>
      <c r="F104">
        <v>2400</v>
      </c>
      <c r="G104">
        <v>-2400</v>
      </c>
      <c r="H104">
        <v>-400</v>
      </c>
      <c r="I104">
        <v>2400</v>
      </c>
      <c r="J104">
        <v>2400</v>
      </c>
      <c r="K104">
        <v>-400</v>
      </c>
      <c r="L104">
        <v>140</v>
      </c>
      <c r="M104">
        <v>140</v>
      </c>
      <c r="N104" t="s">
        <v>4</v>
      </c>
    </row>
    <row r="105" spans="1:14" x14ac:dyDescent="0.25">
      <c r="A105" s="15" t="s">
        <v>4</v>
      </c>
      <c r="B105" s="17" t="s">
        <v>182</v>
      </c>
      <c r="C105" t="s">
        <v>207</v>
      </c>
      <c r="D105" t="s">
        <v>213</v>
      </c>
      <c r="E105" t="s">
        <v>4</v>
      </c>
      <c r="F105">
        <v>-2400</v>
      </c>
      <c r="G105">
        <v>-2400</v>
      </c>
      <c r="H105">
        <v>-400</v>
      </c>
      <c r="I105">
        <v>-2400</v>
      </c>
      <c r="J105">
        <v>2400</v>
      </c>
      <c r="K105">
        <v>-400</v>
      </c>
      <c r="L105">
        <v>140</v>
      </c>
      <c r="M105">
        <v>140</v>
      </c>
      <c r="N105" t="s">
        <v>4</v>
      </c>
    </row>
    <row r="106" spans="1:14" x14ac:dyDescent="0.25">
      <c r="A106" s="15" t="s">
        <v>4</v>
      </c>
      <c r="B106" s="17" t="s">
        <v>182</v>
      </c>
      <c r="C106" t="s">
        <v>207</v>
      </c>
      <c r="D106" t="s">
        <v>214</v>
      </c>
      <c r="E106" t="s">
        <v>4</v>
      </c>
      <c r="F106">
        <v>1000</v>
      </c>
      <c r="G106">
        <v>0</v>
      </c>
      <c r="H106">
        <v>-400</v>
      </c>
      <c r="I106">
        <v>2400</v>
      </c>
      <c r="J106">
        <v>0</v>
      </c>
      <c r="K106">
        <v>-400</v>
      </c>
      <c r="L106" t="s">
        <v>4</v>
      </c>
      <c r="M106">
        <v>140</v>
      </c>
      <c r="N106" t="s">
        <v>4</v>
      </c>
    </row>
    <row r="107" spans="1:14" x14ac:dyDescent="0.25">
      <c r="A107" s="15" t="s">
        <v>4</v>
      </c>
      <c r="B107" s="17" t="s">
        <v>182</v>
      </c>
      <c r="C107" t="s">
        <v>207</v>
      </c>
      <c r="D107" t="s">
        <v>215</v>
      </c>
      <c r="E107" t="s">
        <v>4</v>
      </c>
      <c r="F107">
        <v>0</v>
      </c>
      <c r="G107">
        <v>1000</v>
      </c>
      <c r="H107">
        <v>-400</v>
      </c>
      <c r="I107">
        <v>0</v>
      </c>
      <c r="J107">
        <v>2400</v>
      </c>
      <c r="K107">
        <v>-400</v>
      </c>
      <c r="L107" t="s">
        <v>4</v>
      </c>
      <c r="M107">
        <v>140</v>
      </c>
      <c r="N107" t="s">
        <v>4</v>
      </c>
    </row>
    <row r="108" spans="1:14" x14ac:dyDescent="0.25">
      <c r="A108" s="15" t="s">
        <v>4</v>
      </c>
      <c r="B108" s="17" t="s">
        <v>182</v>
      </c>
      <c r="C108" t="s">
        <v>207</v>
      </c>
      <c r="D108" t="s">
        <v>216</v>
      </c>
      <c r="E108" t="s">
        <v>4</v>
      </c>
      <c r="F108">
        <v>-1000</v>
      </c>
      <c r="G108">
        <v>0</v>
      </c>
      <c r="H108">
        <v>-400</v>
      </c>
      <c r="I108">
        <v>-2400</v>
      </c>
      <c r="J108">
        <v>0</v>
      </c>
      <c r="K108">
        <v>-400</v>
      </c>
      <c r="L108" t="s">
        <v>4</v>
      </c>
      <c r="M108">
        <v>140</v>
      </c>
      <c r="N108" t="s">
        <v>4</v>
      </c>
    </row>
    <row r="109" spans="1:14" x14ac:dyDescent="0.25">
      <c r="A109" s="15" t="s">
        <v>4</v>
      </c>
      <c r="B109" s="17" t="s">
        <v>182</v>
      </c>
      <c r="C109" t="s">
        <v>207</v>
      </c>
      <c r="D109" t="s">
        <v>217</v>
      </c>
      <c r="E109" t="s">
        <v>4</v>
      </c>
      <c r="F109">
        <v>0</v>
      </c>
      <c r="G109">
        <v>-1000</v>
      </c>
      <c r="H109">
        <v>-400</v>
      </c>
      <c r="I109">
        <v>0</v>
      </c>
      <c r="J109">
        <v>-2400</v>
      </c>
      <c r="K109">
        <v>-400</v>
      </c>
      <c r="L109" t="s">
        <v>4</v>
      </c>
      <c r="M109">
        <v>140</v>
      </c>
      <c r="N109" t="s">
        <v>4</v>
      </c>
    </row>
    <row r="110" spans="1:14" x14ac:dyDescent="0.25">
      <c r="A110" s="15" t="s">
        <v>4</v>
      </c>
      <c r="B110" s="17" t="s">
        <v>182</v>
      </c>
      <c r="C110" t="s">
        <v>207</v>
      </c>
      <c r="D110" t="s">
        <v>218</v>
      </c>
      <c r="E110" t="s">
        <v>4</v>
      </c>
      <c r="F110">
        <v>-2400</v>
      </c>
      <c r="G110">
        <v>-2400</v>
      </c>
      <c r="H110">
        <v>0</v>
      </c>
      <c r="I110">
        <v>-800</v>
      </c>
      <c r="J110">
        <v>-800</v>
      </c>
      <c r="K110" s="18">
        <f>=PARAM!$C$6*1.35</f>
        <v>3240</v>
      </c>
      <c r="L110" t="s">
        <v>4</v>
      </c>
      <c r="M110">
        <v>350</v>
      </c>
      <c r="N110" t="s">
        <v>4</v>
      </c>
    </row>
    <row r="111" spans="1:14" x14ac:dyDescent="0.25">
      <c r="A111" s="15" t="s">
        <v>4</v>
      </c>
      <c r="B111" s="17" t="s">
        <v>182</v>
      </c>
      <c r="C111" t="s">
        <v>207</v>
      </c>
      <c r="D111" t="s">
        <v>219</v>
      </c>
      <c r="E111" t="s">
        <v>4</v>
      </c>
      <c r="F111">
        <v>2400</v>
      </c>
      <c r="G111">
        <v>-2400</v>
      </c>
      <c r="H111">
        <v>0</v>
      </c>
      <c r="I111">
        <v>800</v>
      </c>
      <c r="J111">
        <v>-800</v>
      </c>
      <c r="K111" s="18">
        <f>=PARAM!$C$6*1.35</f>
        <v>3240</v>
      </c>
      <c r="L111" t="s">
        <v>4</v>
      </c>
      <c r="M111">
        <v>350</v>
      </c>
      <c r="N111" t="s">
        <v>4</v>
      </c>
    </row>
    <row r="112" spans="1:14" x14ac:dyDescent="0.25">
      <c r="A112" s="15" t="s">
        <v>4</v>
      </c>
      <c r="B112" s="17" t="s">
        <v>182</v>
      </c>
      <c r="C112" t="s">
        <v>207</v>
      </c>
      <c r="D112" t="s">
        <v>220</v>
      </c>
      <c r="E112" t="s">
        <v>4</v>
      </c>
      <c r="F112">
        <v>2400</v>
      </c>
      <c r="G112">
        <v>2400</v>
      </c>
      <c r="H112">
        <v>0</v>
      </c>
      <c r="I112">
        <v>800</v>
      </c>
      <c r="J112">
        <v>800</v>
      </c>
      <c r="K112" s="18">
        <f>=PARAM!$C$6*1.35</f>
        <v>3240</v>
      </c>
      <c r="L112" t="s">
        <v>4</v>
      </c>
      <c r="M112">
        <v>350</v>
      </c>
      <c r="N112" t="s">
        <v>4</v>
      </c>
    </row>
    <row r="113" spans="1:14" x14ac:dyDescent="0.25">
      <c r="A113" s="15" t="s">
        <v>4</v>
      </c>
      <c r="B113" s="17" t="s">
        <v>182</v>
      </c>
      <c r="C113" t="s">
        <v>207</v>
      </c>
      <c r="D113" t="s">
        <v>221</v>
      </c>
      <c r="E113" t="s">
        <v>4</v>
      </c>
      <c r="F113">
        <v>-2400</v>
      </c>
      <c r="G113">
        <v>2400</v>
      </c>
      <c r="H113">
        <v>0</v>
      </c>
      <c r="I113">
        <v>-800</v>
      </c>
      <c r="J113">
        <v>800</v>
      </c>
      <c r="K113" s="18">
        <f>=PARAM!$C$6*1.35</f>
        <v>3240</v>
      </c>
      <c r="L113" t="s">
        <v>4</v>
      </c>
      <c r="M113">
        <v>350</v>
      </c>
      <c r="N113" t="s">
        <v>4</v>
      </c>
    </row>
    <row r="114" spans="1:12" x14ac:dyDescent="0.25">
      <c r="A114" s="15" t="s">
        <v>4</v>
      </c>
      <c r="B114" s="16" t="s">
        <v>169</v>
      </c>
      <c r="C114" t="s">
        <v>57</v>
      </c>
      <c r="D114" t="s">
        <v>170</v>
      </c>
      <c r="E114" t="s">
        <v>171</v>
      </c>
      <c r="F114" t="s">
        <v>163</v>
      </c>
      <c r="G114" t="s">
        <v>164</v>
      </c>
      <c r="H114" t="s">
        <v>201</v>
      </c>
      <c r="I114" t="s">
        <v>202</v>
      </c>
      <c r="J114" t="s">
        <v>203</v>
      </c>
      <c r="K114" t="s">
        <v>204</v>
      </c>
      <c r="L114" t="s">
        <v>205</v>
      </c>
    </row>
    <row r="115" spans="1:12" x14ac:dyDescent="0.25">
      <c r="A115" s="15" t="s">
        <v>4</v>
      </c>
      <c r="B115" s="17" t="s">
        <v>182</v>
      </c>
      <c r="C115" t="s">
        <v>207</v>
      </c>
      <c r="D115" t="s">
        <v>222</v>
      </c>
      <c r="E115" t="s">
        <v>208</v>
      </c>
      <c r="F115">
        <v>-2400</v>
      </c>
      <c r="G115">
        <v>-2400</v>
      </c>
      <c r="H115">
        <v>-700</v>
      </c>
      <c r="I115" t="s">
        <v>209</v>
      </c>
      <c r="J115" t="s">
        <v>4</v>
      </c>
      <c r="K115" t="s">
        <v>4</v>
      </c>
      <c r="L115" t="s">
        <v>4</v>
      </c>
    </row>
    <row r="116" spans="1:12" x14ac:dyDescent="0.25">
      <c r="A116" s="15" t="s">
        <v>4</v>
      </c>
      <c r="B116" s="17" t="s">
        <v>182</v>
      </c>
      <c r="C116" t="s">
        <v>207</v>
      </c>
      <c r="D116" t="s">
        <v>223</v>
      </c>
      <c r="E116" t="s">
        <v>208</v>
      </c>
      <c r="F116">
        <v>2400</v>
      </c>
      <c r="G116">
        <v>-2400</v>
      </c>
      <c r="H116">
        <v>-700</v>
      </c>
      <c r="I116" t="s">
        <v>209</v>
      </c>
      <c r="J116" t="s">
        <v>4</v>
      </c>
      <c r="K116" t="s">
        <v>4</v>
      </c>
      <c r="L116" t="s">
        <v>4</v>
      </c>
    </row>
    <row r="117" spans="1:12" x14ac:dyDescent="0.25">
      <c r="A117" s="15" t="s">
        <v>4</v>
      </c>
      <c r="B117" s="17" t="s">
        <v>182</v>
      </c>
      <c r="C117" t="s">
        <v>207</v>
      </c>
      <c r="D117" t="s">
        <v>224</v>
      </c>
      <c r="E117" t="s">
        <v>208</v>
      </c>
      <c r="F117">
        <v>2400</v>
      </c>
      <c r="G117">
        <v>2400</v>
      </c>
      <c r="H117">
        <v>-700</v>
      </c>
      <c r="I117" t="s">
        <v>209</v>
      </c>
      <c r="J117" t="s">
        <v>4</v>
      </c>
      <c r="K117" t="s">
        <v>4</v>
      </c>
      <c r="L117" t="s">
        <v>4</v>
      </c>
    </row>
    <row r="118" spans="1:12" x14ac:dyDescent="0.25">
      <c r="A118" s="15" t="s">
        <v>4</v>
      </c>
      <c r="B118" s="17" t="s">
        <v>182</v>
      </c>
      <c r="C118" t="s">
        <v>207</v>
      </c>
      <c r="D118" t="s">
        <v>225</v>
      </c>
      <c r="E118" t="s">
        <v>208</v>
      </c>
      <c r="F118">
        <v>-2400</v>
      </c>
      <c r="G118">
        <v>2400</v>
      </c>
      <c r="H118">
        <v>-700</v>
      </c>
      <c r="I118" t="s">
        <v>209</v>
      </c>
      <c r="J118" t="s">
        <v>4</v>
      </c>
      <c r="K118" t="s">
        <v>4</v>
      </c>
      <c r="L118" t="s">
        <v>4</v>
      </c>
    </row>
    <row r="119" spans="1:14" x14ac:dyDescent="0.25">
      <c r="A119" s="15" t="s">
        <v>4</v>
      </c>
      <c r="B119" s="16" t="s">
        <v>169</v>
      </c>
      <c r="C119" t="s">
        <v>57</v>
      </c>
      <c r="D119" t="s">
        <v>170</v>
      </c>
      <c r="E119" t="s">
        <v>171</v>
      </c>
      <c r="F119" t="s">
        <v>172</v>
      </c>
      <c r="G119" t="s">
        <v>173</v>
      </c>
      <c r="H119" t="s">
        <v>174</v>
      </c>
      <c r="I119" t="s">
        <v>175</v>
      </c>
      <c r="J119" t="s">
        <v>176</v>
      </c>
      <c r="K119" t="s">
        <v>177</v>
      </c>
      <c r="L119" t="s">
        <v>178</v>
      </c>
      <c r="M119" t="s">
        <v>179</v>
      </c>
      <c r="N119" t="s">
        <v>180</v>
      </c>
    </row>
    <row r="120" spans="1:14" x14ac:dyDescent="0.25">
      <c r="A120" s="15" t="s">
        <v>4</v>
      </c>
      <c r="B120" s="17" t="s">
        <v>182</v>
      </c>
      <c r="C120" t="s">
        <v>207</v>
      </c>
      <c r="D120" t="s">
        <v>226</v>
      </c>
      <c r="E120" t="s">
        <v>4</v>
      </c>
      <c r="F120">
        <v>-2680</v>
      </c>
      <c r="G120">
        <v>-2680</v>
      </c>
      <c r="H120">
        <v>-790</v>
      </c>
      <c r="I120">
        <v>-2680</v>
      </c>
      <c r="J120">
        <v>-2680</v>
      </c>
      <c r="K120">
        <v>-670</v>
      </c>
      <c r="L120" t="s">
        <v>4</v>
      </c>
      <c r="M120" t="s">
        <v>4</v>
      </c>
      <c r="N120" t="s">
        <v>4</v>
      </c>
    </row>
    <row r="121" spans="1:14" x14ac:dyDescent="0.25">
      <c r="A121" s="15" t="s">
        <v>4</v>
      </c>
      <c r="B121" s="17" t="s">
        <v>182</v>
      </c>
      <c r="C121" t="s">
        <v>207</v>
      </c>
      <c r="D121" t="s">
        <v>227</v>
      </c>
      <c r="E121" t="s">
        <v>4</v>
      </c>
      <c r="F121">
        <v>-2120</v>
      </c>
      <c r="G121">
        <v>-2680</v>
      </c>
      <c r="H121">
        <v>-790</v>
      </c>
      <c r="I121">
        <v>-2120</v>
      </c>
      <c r="J121">
        <v>-2680</v>
      </c>
      <c r="K121">
        <v>-670</v>
      </c>
      <c r="L121" t="s">
        <v>4</v>
      </c>
      <c r="M121" t="s">
        <v>4</v>
      </c>
      <c r="N121" t="s">
        <v>4</v>
      </c>
    </row>
    <row r="122" spans="1:14" x14ac:dyDescent="0.25">
      <c r="A122" s="15" t="s">
        <v>4</v>
      </c>
      <c r="B122" s="17" t="s">
        <v>182</v>
      </c>
      <c r="C122" t="s">
        <v>207</v>
      </c>
      <c r="D122" t="s">
        <v>228</v>
      </c>
      <c r="E122" t="s">
        <v>4</v>
      </c>
      <c r="F122">
        <v>-2680</v>
      </c>
      <c r="G122">
        <v>-2120</v>
      </c>
      <c r="H122">
        <v>-790</v>
      </c>
      <c r="I122">
        <v>-2680</v>
      </c>
      <c r="J122">
        <v>-2120</v>
      </c>
      <c r="K122">
        <v>-670</v>
      </c>
      <c r="L122" t="s">
        <v>4</v>
      </c>
      <c r="M122" t="s">
        <v>4</v>
      </c>
      <c r="N122" t="s">
        <v>4</v>
      </c>
    </row>
    <row r="123" spans="1:14" x14ac:dyDescent="0.25">
      <c r="A123" s="15" t="s">
        <v>4</v>
      </c>
      <c r="B123" s="17" t="s">
        <v>182</v>
      </c>
      <c r="C123" t="s">
        <v>207</v>
      </c>
      <c r="D123" t="s">
        <v>229</v>
      </c>
      <c r="E123" t="s">
        <v>4</v>
      </c>
      <c r="F123">
        <v>-2120</v>
      </c>
      <c r="G123">
        <v>-2120</v>
      </c>
      <c r="H123">
        <v>-790</v>
      </c>
      <c r="I123">
        <v>-2120</v>
      </c>
      <c r="J123">
        <v>-2120</v>
      </c>
      <c r="K123">
        <v>-670</v>
      </c>
      <c r="L123" t="s">
        <v>4</v>
      </c>
      <c r="M123" t="s">
        <v>4</v>
      </c>
      <c r="N123" t="s">
        <v>4</v>
      </c>
    </row>
    <row r="124" spans="1:14" x14ac:dyDescent="0.25">
      <c r="A124" s="15" t="s">
        <v>4</v>
      </c>
      <c r="B124" s="17" t="s">
        <v>182</v>
      </c>
      <c r="C124" t="s">
        <v>207</v>
      </c>
      <c r="D124" t="s">
        <v>230</v>
      </c>
      <c r="E124" t="s">
        <v>4</v>
      </c>
      <c r="F124">
        <v>2120</v>
      </c>
      <c r="G124">
        <v>-2680</v>
      </c>
      <c r="H124">
        <v>-790</v>
      </c>
      <c r="I124">
        <v>2120</v>
      </c>
      <c r="J124">
        <v>-2680</v>
      </c>
      <c r="K124">
        <v>-670</v>
      </c>
      <c r="L124" t="s">
        <v>4</v>
      </c>
      <c r="M124" t="s">
        <v>4</v>
      </c>
      <c r="N124" t="s">
        <v>4</v>
      </c>
    </row>
    <row r="125" spans="1:14" x14ac:dyDescent="0.25">
      <c r="A125" s="15" t="s">
        <v>4</v>
      </c>
      <c r="B125" s="17" t="s">
        <v>182</v>
      </c>
      <c r="C125" t="s">
        <v>207</v>
      </c>
      <c r="D125" t="s">
        <v>231</v>
      </c>
      <c r="E125" t="s">
        <v>4</v>
      </c>
      <c r="F125">
        <v>2680</v>
      </c>
      <c r="G125">
        <v>-2680</v>
      </c>
      <c r="H125">
        <v>-790</v>
      </c>
      <c r="I125">
        <v>2680</v>
      </c>
      <c r="J125">
        <v>-2680</v>
      </c>
      <c r="K125">
        <v>-670</v>
      </c>
      <c r="L125" t="s">
        <v>4</v>
      </c>
      <c r="M125" t="s">
        <v>4</v>
      </c>
      <c r="N125" t="s">
        <v>4</v>
      </c>
    </row>
    <row r="126" spans="1:14" x14ac:dyDescent="0.25">
      <c r="A126" s="15" t="s">
        <v>4</v>
      </c>
      <c r="B126" s="17" t="s">
        <v>182</v>
      </c>
      <c r="C126" t="s">
        <v>207</v>
      </c>
      <c r="D126" t="s">
        <v>232</v>
      </c>
      <c r="E126" t="s">
        <v>4</v>
      </c>
      <c r="F126">
        <v>2120</v>
      </c>
      <c r="G126">
        <v>-2120</v>
      </c>
      <c r="H126">
        <v>-790</v>
      </c>
      <c r="I126">
        <v>2120</v>
      </c>
      <c r="J126">
        <v>-2120</v>
      </c>
      <c r="K126">
        <v>-670</v>
      </c>
      <c r="L126" t="s">
        <v>4</v>
      </c>
      <c r="M126" t="s">
        <v>4</v>
      </c>
      <c r="N126" t="s">
        <v>4</v>
      </c>
    </row>
    <row r="127" spans="1:14" x14ac:dyDescent="0.25">
      <c r="A127" s="15" t="s">
        <v>4</v>
      </c>
      <c r="B127" s="17" t="s">
        <v>182</v>
      </c>
      <c r="C127" t="s">
        <v>207</v>
      </c>
      <c r="D127" t="s">
        <v>233</v>
      </c>
      <c r="E127" t="s">
        <v>4</v>
      </c>
      <c r="F127">
        <v>2680</v>
      </c>
      <c r="G127">
        <v>-2120</v>
      </c>
      <c r="H127">
        <v>-790</v>
      </c>
      <c r="I127">
        <v>2680</v>
      </c>
      <c r="J127">
        <v>-2120</v>
      </c>
      <c r="K127">
        <v>-670</v>
      </c>
      <c r="L127" t="s">
        <v>4</v>
      </c>
      <c r="M127" t="s">
        <v>4</v>
      </c>
      <c r="N127" t="s">
        <v>4</v>
      </c>
    </row>
    <row r="128" spans="1:14" x14ac:dyDescent="0.25">
      <c r="A128" s="15" t="s">
        <v>4</v>
      </c>
      <c r="B128" s="17" t="s">
        <v>182</v>
      </c>
      <c r="C128" t="s">
        <v>207</v>
      </c>
      <c r="D128" t="s">
        <v>234</v>
      </c>
      <c r="E128" t="s">
        <v>4</v>
      </c>
      <c r="F128">
        <v>2120</v>
      </c>
      <c r="G128">
        <v>2120</v>
      </c>
      <c r="H128">
        <v>-790</v>
      </c>
      <c r="I128">
        <v>2120</v>
      </c>
      <c r="J128">
        <v>2120</v>
      </c>
      <c r="K128">
        <v>-670</v>
      </c>
      <c r="L128" t="s">
        <v>4</v>
      </c>
      <c r="M128" t="s">
        <v>4</v>
      </c>
      <c r="N128" t="s">
        <v>4</v>
      </c>
    </row>
    <row r="129" spans="1:14" x14ac:dyDescent="0.25">
      <c r="A129" s="15" t="s">
        <v>4</v>
      </c>
      <c r="B129" s="17" t="s">
        <v>182</v>
      </c>
      <c r="C129" t="s">
        <v>207</v>
      </c>
      <c r="D129" t="s">
        <v>235</v>
      </c>
      <c r="E129" t="s">
        <v>4</v>
      </c>
      <c r="F129">
        <v>2680</v>
      </c>
      <c r="G129">
        <v>2120</v>
      </c>
      <c r="H129">
        <v>-790</v>
      </c>
      <c r="I129">
        <v>2680</v>
      </c>
      <c r="J129">
        <v>2120</v>
      </c>
      <c r="K129">
        <v>-670</v>
      </c>
      <c r="L129" t="s">
        <v>4</v>
      </c>
      <c r="M129" t="s">
        <v>4</v>
      </c>
      <c r="N129" t="s">
        <v>4</v>
      </c>
    </row>
    <row r="130" spans="1:14" x14ac:dyDescent="0.25">
      <c r="A130" s="15" t="s">
        <v>4</v>
      </c>
      <c r="B130" s="17" t="s">
        <v>182</v>
      </c>
      <c r="C130" t="s">
        <v>207</v>
      </c>
      <c r="D130" t="s">
        <v>236</v>
      </c>
      <c r="E130" t="s">
        <v>4</v>
      </c>
      <c r="F130">
        <v>2120</v>
      </c>
      <c r="G130">
        <v>2680</v>
      </c>
      <c r="H130">
        <v>-790</v>
      </c>
      <c r="I130">
        <v>2120</v>
      </c>
      <c r="J130">
        <v>2680</v>
      </c>
      <c r="K130">
        <v>-670</v>
      </c>
      <c r="L130" t="s">
        <v>4</v>
      </c>
      <c r="M130" t="s">
        <v>4</v>
      </c>
      <c r="N130" t="s">
        <v>4</v>
      </c>
    </row>
    <row r="131" spans="1:14" x14ac:dyDescent="0.25">
      <c r="A131" s="15" t="s">
        <v>4</v>
      </c>
      <c r="B131" s="17" t="s">
        <v>182</v>
      </c>
      <c r="C131" t="s">
        <v>207</v>
      </c>
      <c r="D131" t="s">
        <v>237</v>
      </c>
      <c r="E131" t="s">
        <v>4</v>
      </c>
      <c r="F131">
        <v>2680</v>
      </c>
      <c r="G131">
        <v>2680</v>
      </c>
      <c r="H131">
        <v>-790</v>
      </c>
      <c r="I131">
        <v>2680</v>
      </c>
      <c r="J131">
        <v>2680</v>
      </c>
      <c r="K131">
        <v>-670</v>
      </c>
      <c r="L131" t="s">
        <v>4</v>
      </c>
      <c r="M131" t="s">
        <v>4</v>
      </c>
      <c r="N131" t="s">
        <v>4</v>
      </c>
    </row>
    <row r="132" spans="1:14" x14ac:dyDescent="0.25">
      <c r="A132" s="15" t="s">
        <v>4</v>
      </c>
      <c r="B132" s="17" t="s">
        <v>182</v>
      </c>
      <c r="C132" t="s">
        <v>207</v>
      </c>
      <c r="D132" t="s">
        <v>238</v>
      </c>
      <c r="E132" t="s">
        <v>4</v>
      </c>
      <c r="F132">
        <v>-2680</v>
      </c>
      <c r="G132">
        <v>2120</v>
      </c>
      <c r="H132">
        <v>-790</v>
      </c>
      <c r="I132">
        <v>-2680</v>
      </c>
      <c r="J132">
        <v>2120</v>
      </c>
      <c r="K132">
        <v>-670</v>
      </c>
      <c r="L132" t="s">
        <v>4</v>
      </c>
      <c r="M132" t="s">
        <v>4</v>
      </c>
      <c r="N132" t="s">
        <v>4</v>
      </c>
    </row>
    <row r="133" spans="1:14" x14ac:dyDescent="0.25">
      <c r="A133" s="15" t="s">
        <v>4</v>
      </c>
      <c r="B133" s="17" t="s">
        <v>182</v>
      </c>
      <c r="C133" t="s">
        <v>207</v>
      </c>
      <c r="D133" t="s">
        <v>239</v>
      </c>
      <c r="E133" t="s">
        <v>4</v>
      </c>
      <c r="F133">
        <v>-2120</v>
      </c>
      <c r="G133">
        <v>2120</v>
      </c>
      <c r="H133">
        <v>-790</v>
      </c>
      <c r="I133">
        <v>-2120</v>
      </c>
      <c r="J133">
        <v>2120</v>
      </c>
      <c r="K133">
        <v>-670</v>
      </c>
      <c r="L133" t="s">
        <v>4</v>
      </c>
      <c r="M133" t="s">
        <v>4</v>
      </c>
      <c r="N133" t="s">
        <v>4</v>
      </c>
    </row>
    <row r="134" spans="1:14" x14ac:dyDescent="0.25">
      <c r="A134" s="15" t="s">
        <v>4</v>
      </c>
      <c r="B134" s="17" t="s">
        <v>182</v>
      </c>
      <c r="C134" t="s">
        <v>207</v>
      </c>
      <c r="D134" t="s">
        <v>240</v>
      </c>
      <c r="E134" t="s">
        <v>4</v>
      </c>
      <c r="F134">
        <v>-2680</v>
      </c>
      <c r="G134">
        <v>2680</v>
      </c>
      <c r="H134">
        <v>-790</v>
      </c>
      <c r="I134">
        <v>-2680</v>
      </c>
      <c r="J134">
        <v>2680</v>
      </c>
      <c r="K134">
        <v>-670</v>
      </c>
      <c r="L134" t="s">
        <v>4</v>
      </c>
      <c r="M134" t="s">
        <v>4</v>
      </c>
      <c r="N134" t="s">
        <v>4</v>
      </c>
    </row>
    <row r="135" spans="1:14" x14ac:dyDescent="0.25">
      <c r="A135" s="15" t="s">
        <v>4</v>
      </c>
      <c r="B135" s="17" t="s">
        <v>182</v>
      </c>
      <c r="C135" t="s">
        <v>207</v>
      </c>
      <c r="D135" t="s">
        <v>241</v>
      </c>
      <c r="E135" t="s">
        <v>4</v>
      </c>
      <c r="F135">
        <v>-2120</v>
      </c>
      <c r="G135">
        <v>2680</v>
      </c>
      <c r="H135">
        <v>-790</v>
      </c>
      <c r="I135">
        <v>-2120</v>
      </c>
      <c r="J135">
        <v>2680</v>
      </c>
      <c r="K135">
        <v>-670</v>
      </c>
      <c r="L135" t="s">
        <v>4</v>
      </c>
      <c r="M135" t="s">
        <v>4</v>
      </c>
      <c r="N135" t="s">
        <v>4</v>
      </c>
    </row>
    <row r="136" spans="1:12" x14ac:dyDescent="0.25">
      <c r="A136" s="15" t="s">
        <v>4</v>
      </c>
      <c r="B136" s="16" t="s">
        <v>169</v>
      </c>
      <c r="C136" t="s">
        <v>57</v>
      </c>
      <c r="D136" t="s">
        <v>170</v>
      </c>
      <c r="E136" t="s">
        <v>171</v>
      </c>
      <c r="F136" t="s">
        <v>163</v>
      </c>
      <c r="G136" t="s">
        <v>164</v>
      </c>
      <c r="H136" t="s">
        <v>201</v>
      </c>
      <c r="I136" t="s">
        <v>202</v>
      </c>
      <c r="J136" t="s">
        <v>203</v>
      </c>
      <c r="K136" t="s">
        <v>204</v>
      </c>
      <c r="L136" t="s">
        <v>205</v>
      </c>
    </row>
    <row r="137" spans="1:6" x14ac:dyDescent="0.25">
      <c r="A137" s="15" t="s">
        <v>4</v>
      </c>
      <c r="B137" s="17" t="s">
        <v>182</v>
      </c>
      <c r="C137" t="s">
        <v>207</v>
      </c>
      <c r="D137" t="s">
        <v>206</v>
      </c>
      <c r="E137" t="s">
        <v>123</v>
      </c>
      <c r="F137" t="s">
        <v>208</v>
      </c>
    </row>
    <row r="139" spans="1:12" x14ac:dyDescent="0.25">
      <c r="A139" s="15" t="s">
        <v>4</v>
      </c>
      <c r="B139" s="16" t="s">
        <v>169</v>
      </c>
      <c r="C139" t="s">
        <v>57</v>
      </c>
      <c r="D139" t="s">
        <v>170</v>
      </c>
      <c r="E139" t="s">
        <v>171</v>
      </c>
      <c r="F139" t="s">
        <v>163</v>
      </c>
      <c r="G139" t="s">
        <v>164</v>
      </c>
      <c r="H139" t="s">
        <v>201</v>
      </c>
      <c r="I139" t="s">
        <v>202</v>
      </c>
      <c r="J139" t="s">
        <v>203</v>
      </c>
      <c r="K139" t="s">
        <v>204</v>
      </c>
      <c r="L139" t="s">
        <v>205</v>
      </c>
    </row>
    <row r="140" spans="1:12" x14ac:dyDescent="0.25">
      <c r="A140" s="15" t="s">
        <v>4</v>
      </c>
      <c r="B140" s="17" t="s">
        <v>182</v>
      </c>
      <c r="C140" t="s">
        <v>242</v>
      </c>
      <c r="D140" t="s">
        <v>126</v>
      </c>
      <c r="E140" t="s">
        <v>243</v>
      </c>
      <c r="F140">
        <v>0</v>
      </c>
      <c r="G140">
        <v>0</v>
      </c>
      <c r="H140">
        <v>0</v>
      </c>
      <c r="I140" t="s">
        <v>209</v>
      </c>
      <c r="J140" t="s">
        <v>4</v>
      </c>
      <c r="K140" t="s">
        <v>4</v>
      </c>
      <c r="L140" t="s">
        <v>4</v>
      </c>
    </row>
    <row r="141" spans="1:12" x14ac:dyDescent="0.25">
      <c r="A141" s="15" t="s">
        <v>4</v>
      </c>
      <c r="B141" s="17" t="s">
        <v>182</v>
      </c>
      <c r="C141" t="s">
        <v>242</v>
      </c>
      <c r="D141" t="s">
        <v>128</v>
      </c>
      <c r="E141" t="s">
        <v>243</v>
      </c>
      <c r="F141">
        <v>0</v>
      </c>
      <c r="G141">
        <v>0</v>
      </c>
      <c r="H141">
        <v>120</v>
      </c>
      <c r="I141" t="s">
        <v>209</v>
      </c>
      <c r="J141" t="s">
        <v>4</v>
      </c>
      <c r="K141" t="s">
        <v>4</v>
      </c>
      <c r="L141" t="s">
        <v>4</v>
      </c>
    </row>
    <row r="142" spans="1:12" x14ac:dyDescent="0.25">
      <c r="A142" s="15" t="s">
        <v>4</v>
      </c>
      <c r="B142" s="17" t="s">
        <v>182</v>
      </c>
      <c r="C142" t="s">
        <v>242</v>
      </c>
      <c r="D142" t="s">
        <v>129</v>
      </c>
      <c r="E142" t="s">
        <v>243</v>
      </c>
      <c r="F142">
        <v>0</v>
      </c>
      <c r="G142">
        <v>0</v>
      </c>
      <c r="H142">
        <v>240</v>
      </c>
      <c r="I142" t="s">
        <v>209</v>
      </c>
      <c r="J142" t="s">
        <v>4</v>
      </c>
      <c r="K142" t="s">
        <v>4</v>
      </c>
      <c r="L142" t="s">
        <v>4</v>
      </c>
    </row>
    <row r="143" spans="1:14" x14ac:dyDescent="0.25">
      <c r="A143" s="15" t="s">
        <v>4</v>
      </c>
      <c r="B143" s="16" t="s">
        <v>169</v>
      </c>
      <c r="C143" t="s">
        <v>57</v>
      </c>
      <c r="D143" t="s">
        <v>170</v>
      </c>
      <c r="E143" t="s">
        <v>171</v>
      </c>
      <c r="F143" t="s">
        <v>172</v>
      </c>
      <c r="G143" t="s">
        <v>173</v>
      </c>
      <c r="H143" t="s">
        <v>174</v>
      </c>
      <c r="I143" t="s">
        <v>175</v>
      </c>
      <c r="J143" t="s">
        <v>176</v>
      </c>
      <c r="K143" t="s">
        <v>177</v>
      </c>
      <c r="L143" t="s">
        <v>178</v>
      </c>
      <c r="M143" t="s">
        <v>179</v>
      </c>
      <c r="N143" t="s">
        <v>180</v>
      </c>
    </row>
    <row r="144" spans="1:14" x14ac:dyDescent="0.25">
      <c r="A144" s="15" t="s">
        <v>4</v>
      </c>
      <c r="B144" s="17" t="s">
        <v>182</v>
      </c>
      <c r="C144" t="s">
        <v>242</v>
      </c>
      <c r="D144" t="s">
        <v>244</v>
      </c>
      <c r="E144" t="s">
        <v>4</v>
      </c>
      <c r="F144">
        <v>-2300</v>
      </c>
      <c r="G144">
        <v>-1150</v>
      </c>
      <c r="H144">
        <v>620</v>
      </c>
      <c r="I144">
        <v>2300</v>
      </c>
      <c r="J144">
        <v>-1150</v>
      </c>
      <c r="K144">
        <v>620</v>
      </c>
      <c r="L144" t="s">
        <v>4</v>
      </c>
      <c r="M144" t="s">
        <v>4</v>
      </c>
      <c r="N144" t="s">
        <v>4</v>
      </c>
    </row>
    <row r="145" spans="1:14" x14ac:dyDescent="0.25">
      <c r="A145" s="15" t="s">
        <v>4</v>
      </c>
      <c r="B145" s="17" t="s">
        <v>182</v>
      </c>
      <c r="C145" t="s">
        <v>242</v>
      </c>
      <c r="D145" t="s">
        <v>245</v>
      </c>
      <c r="E145" t="s">
        <v>4</v>
      </c>
      <c r="F145">
        <v>-2300</v>
      </c>
      <c r="G145">
        <v>1150</v>
      </c>
      <c r="H145">
        <v>620</v>
      </c>
      <c r="I145">
        <v>2300</v>
      </c>
      <c r="J145">
        <v>1150</v>
      </c>
      <c r="K145">
        <v>620</v>
      </c>
      <c r="L145" t="s">
        <v>4</v>
      </c>
      <c r="M145" t="s">
        <v>4</v>
      </c>
      <c r="N145" t="s">
        <v>4</v>
      </c>
    </row>
    <row r="146" spans="1:12" x14ac:dyDescent="0.25">
      <c r="A146" s="15" t="s">
        <v>4</v>
      </c>
      <c r="B146" s="16" t="s">
        <v>169</v>
      </c>
      <c r="C146" t="s">
        <v>57</v>
      </c>
      <c r="D146" t="s">
        <v>170</v>
      </c>
      <c r="E146" t="s">
        <v>171</v>
      </c>
      <c r="F146" t="s">
        <v>163</v>
      </c>
      <c r="G146" t="s">
        <v>164</v>
      </c>
      <c r="H146" t="s">
        <v>201</v>
      </c>
      <c r="I146" t="s">
        <v>202</v>
      </c>
      <c r="J146" t="s">
        <v>203</v>
      </c>
      <c r="K146" t="s">
        <v>204</v>
      </c>
      <c r="L146" t="s">
        <v>205</v>
      </c>
    </row>
    <row r="147" spans="1:12" x14ac:dyDescent="0.25">
      <c r="A147" s="15" t="s">
        <v>4</v>
      </c>
      <c r="B147" s="17" t="s">
        <v>182</v>
      </c>
      <c r="C147" t="s">
        <v>242</v>
      </c>
      <c r="D147" t="s">
        <v>130</v>
      </c>
      <c r="E147" t="s">
        <v>81</v>
      </c>
      <c r="F147">
        <v>-1500</v>
      </c>
      <c r="G147">
        <v>0</v>
      </c>
      <c r="H147">
        <v>590</v>
      </c>
      <c r="I147" t="s">
        <v>209</v>
      </c>
      <c r="J147" t="s">
        <v>4</v>
      </c>
      <c r="K147" t="s">
        <v>4</v>
      </c>
      <c r="L147" t="s">
        <v>4</v>
      </c>
    </row>
    <row r="148" spans="1:6" x14ac:dyDescent="0.25">
      <c r="A148" s="15" t="s">
        <v>4</v>
      </c>
      <c r="B148" s="17" t="s">
        <v>182</v>
      </c>
      <c r="C148" t="s">
        <v>242</v>
      </c>
      <c r="D148" t="s">
        <v>206</v>
      </c>
      <c r="E148" t="s">
        <v>126</v>
      </c>
      <c r="F148" t="s">
        <v>243</v>
      </c>
    </row>
    <row r="150" spans="1:14" x14ac:dyDescent="0.25">
      <c r="A150" s="15" t="s">
        <v>4</v>
      </c>
      <c r="B150" s="16" t="s">
        <v>169</v>
      </c>
      <c r="C150" t="s">
        <v>57</v>
      </c>
      <c r="D150" t="s">
        <v>170</v>
      </c>
      <c r="E150" t="s">
        <v>171</v>
      </c>
      <c r="F150" t="s">
        <v>172</v>
      </c>
      <c r="G150" t="s">
        <v>173</v>
      </c>
      <c r="H150" t="s">
        <v>174</v>
      </c>
      <c r="I150" t="s">
        <v>175</v>
      </c>
      <c r="J150" t="s">
        <v>176</v>
      </c>
      <c r="K150" t="s">
        <v>177</v>
      </c>
      <c r="L150" t="s">
        <v>178</v>
      </c>
      <c r="M150" t="s">
        <v>179</v>
      </c>
      <c r="N150" t="s">
        <v>180</v>
      </c>
    </row>
    <row r="151" spans="1:14" x14ac:dyDescent="0.25">
      <c r="A151" s="15" t="s">
        <v>4</v>
      </c>
      <c r="B151" s="17" t="s">
        <v>182</v>
      </c>
      <c r="C151" t="s">
        <v>246</v>
      </c>
      <c r="D151" t="s">
        <v>247</v>
      </c>
      <c r="E151" t="s">
        <v>4</v>
      </c>
      <c r="F151">
        <v>-800</v>
      </c>
      <c r="G151">
        <v>-800</v>
      </c>
      <c r="H151">
        <v>0</v>
      </c>
      <c r="I151">
        <v>-250</v>
      </c>
      <c r="J151">
        <v>-250</v>
      </c>
      <c r="K151" s="18">
        <f>=PARAM!$F$6</f>
        <v>9630</v>
      </c>
      <c r="L151" t="s">
        <v>4</v>
      </c>
      <c r="M151" t="s">
        <v>4</v>
      </c>
      <c r="N151">
        <v>225</v>
      </c>
    </row>
    <row r="152" spans="1:14" x14ac:dyDescent="0.25">
      <c r="A152" s="15" t="s">
        <v>4</v>
      </c>
      <c r="B152" s="17" t="s">
        <v>182</v>
      </c>
      <c r="C152" t="s">
        <v>246</v>
      </c>
      <c r="D152" t="s">
        <v>248</v>
      </c>
      <c r="E152" t="s">
        <v>4</v>
      </c>
      <c r="F152">
        <v>800</v>
      </c>
      <c r="G152">
        <v>-800</v>
      </c>
      <c r="H152">
        <v>0</v>
      </c>
      <c r="I152">
        <v>250</v>
      </c>
      <c r="J152">
        <v>-250</v>
      </c>
      <c r="K152" s="18">
        <f>=PARAM!$F$6</f>
        <v>9630</v>
      </c>
      <c r="L152" t="s">
        <v>4</v>
      </c>
      <c r="M152" t="s">
        <v>4</v>
      </c>
      <c r="N152">
        <v>225</v>
      </c>
    </row>
    <row r="153" spans="1:14" x14ac:dyDescent="0.25">
      <c r="A153" s="15" t="s">
        <v>4</v>
      </c>
      <c r="B153" s="17" t="s">
        <v>182</v>
      </c>
      <c r="C153" t="s">
        <v>246</v>
      </c>
      <c r="D153" t="s">
        <v>249</v>
      </c>
      <c r="E153" t="s">
        <v>4</v>
      </c>
      <c r="F153">
        <v>800</v>
      </c>
      <c r="G153">
        <v>800</v>
      </c>
      <c r="H153">
        <v>0</v>
      </c>
      <c r="I153">
        <v>250</v>
      </c>
      <c r="J153">
        <v>250</v>
      </c>
      <c r="K153" s="18">
        <f>=PARAM!$F$6</f>
        <v>9630</v>
      </c>
      <c r="L153" t="s">
        <v>4</v>
      </c>
      <c r="M153" t="s">
        <v>4</v>
      </c>
      <c r="N153">
        <v>225</v>
      </c>
    </row>
    <row r="154" spans="1:14" x14ac:dyDescent="0.25">
      <c r="A154" s="15" t="s">
        <v>4</v>
      </c>
      <c r="B154" s="17" t="s">
        <v>182</v>
      </c>
      <c r="C154" t="s">
        <v>246</v>
      </c>
      <c r="D154" t="s">
        <v>250</v>
      </c>
      <c r="E154" t="s">
        <v>4</v>
      </c>
      <c r="F154">
        <v>-800</v>
      </c>
      <c r="G154">
        <v>800</v>
      </c>
      <c r="H154">
        <v>0</v>
      </c>
      <c r="I154">
        <v>-250</v>
      </c>
      <c r="J154">
        <v>250</v>
      </c>
      <c r="K154" s="18">
        <f>=PARAM!$F$6</f>
        <v>9630</v>
      </c>
      <c r="L154" t="s">
        <v>4</v>
      </c>
      <c r="M154" t="s">
        <v>4</v>
      </c>
      <c r="N154">
        <v>225</v>
      </c>
    </row>
    <row r="155" spans="1:14" x14ac:dyDescent="0.25">
      <c r="A155" s="15" t="s">
        <v>4</v>
      </c>
      <c r="B155" s="17" t="s">
        <v>182</v>
      </c>
      <c r="C155" t="s">
        <v>246</v>
      </c>
      <c r="D155" t="s">
        <v>251</v>
      </c>
      <c r="E155" t="s">
        <v>4</v>
      </c>
      <c r="F155">
        <v>-646</v>
      </c>
      <c r="G155">
        <v>-796</v>
      </c>
      <c r="H155" s="18">
        <f>=PARAM!$F$6*0.28</f>
        <v>2696.4</v>
      </c>
      <c r="I155">
        <v>646</v>
      </c>
      <c r="J155">
        <v>-796</v>
      </c>
      <c r="K155" s="18">
        <f>=PARAM!$F$6*0.28</f>
        <v>2696.4</v>
      </c>
      <c r="L155">
        <v>80</v>
      </c>
      <c r="M155">
        <v>80</v>
      </c>
      <c r="N155" t="s">
        <v>4</v>
      </c>
    </row>
    <row r="156" spans="1:14" x14ac:dyDescent="0.25">
      <c r="A156" s="15" t="s">
        <v>4</v>
      </c>
      <c r="B156" s="17" t="s">
        <v>182</v>
      </c>
      <c r="C156" t="s">
        <v>246</v>
      </c>
      <c r="D156" t="s">
        <v>252</v>
      </c>
      <c r="E156" t="s">
        <v>4</v>
      </c>
      <c r="F156">
        <v>796</v>
      </c>
      <c r="G156">
        <v>-646</v>
      </c>
      <c r="H156" s="18">
        <f>=PARAM!$F$6*0.28</f>
        <v>2696.4</v>
      </c>
      <c r="I156">
        <v>796</v>
      </c>
      <c r="J156">
        <v>646</v>
      </c>
      <c r="K156" s="18">
        <f>=PARAM!$F$6*0.28</f>
        <v>2696.4</v>
      </c>
      <c r="L156">
        <v>80</v>
      </c>
      <c r="M156">
        <v>80</v>
      </c>
      <c r="N156" t="s">
        <v>4</v>
      </c>
    </row>
    <row r="157" spans="1:14" x14ac:dyDescent="0.25">
      <c r="A157" s="15" t="s">
        <v>4</v>
      </c>
      <c r="B157" s="17" t="s">
        <v>182</v>
      </c>
      <c r="C157" t="s">
        <v>246</v>
      </c>
      <c r="D157" t="s">
        <v>253</v>
      </c>
      <c r="E157" t="s">
        <v>4</v>
      </c>
      <c r="F157">
        <v>646</v>
      </c>
      <c r="G157">
        <v>796</v>
      </c>
      <c r="H157" s="18">
        <f>=PARAM!$F$6*0.28</f>
        <v>2696.4</v>
      </c>
      <c r="I157">
        <v>-646</v>
      </c>
      <c r="J157">
        <v>796</v>
      </c>
      <c r="K157" s="18">
        <f>=PARAM!$F$6*0.28</f>
        <v>2696.4</v>
      </c>
      <c r="L157">
        <v>80</v>
      </c>
      <c r="M157">
        <v>80</v>
      </c>
      <c r="N157" t="s">
        <v>4</v>
      </c>
    </row>
    <row r="158" spans="1:14" x14ac:dyDescent="0.25">
      <c r="A158" s="15" t="s">
        <v>4</v>
      </c>
      <c r="B158" s="17" t="s">
        <v>182</v>
      </c>
      <c r="C158" t="s">
        <v>246</v>
      </c>
      <c r="D158" t="s">
        <v>254</v>
      </c>
      <c r="E158" t="s">
        <v>4</v>
      </c>
      <c r="F158">
        <v>-796</v>
      </c>
      <c r="G158">
        <v>646</v>
      </c>
      <c r="H158" s="18">
        <f>=PARAM!$F$6*0.28</f>
        <v>2696.4</v>
      </c>
      <c r="I158">
        <v>-796</v>
      </c>
      <c r="J158">
        <v>-646</v>
      </c>
      <c r="K158" s="18">
        <f>=PARAM!$F$6*0.28</f>
        <v>2696.4</v>
      </c>
      <c r="L158">
        <v>80</v>
      </c>
      <c r="M158">
        <v>80</v>
      </c>
      <c r="N158" t="s">
        <v>4</v>
      </c>
    </row>
    <row r="159" spans="1:14" x14ac:dyDescent="0.25">
      <c r="A159" s="15" t="s">
        <v>4</v>
      </c>
      <c r="B159" s="17" t="s">
        <v>182</v>
      </c>
      <c r="C159" t="s">
        <v>246</v>
      </c>
      <c r="D159" t="s">
        <v>255</v>
      </c>
      <c r="E159" t="s">
        <v>4</v>
      </c>
      <c r="F159">
        <v>-497.5</v>
      </c>
      <c r="G159">
        <v>-647.5</v>
      </c>
      <c r="H159" s="18">
        <f>=PARAM!$F$6*0.55</f>
        <v>5296.5</v>
      </c>
      <c r="I159">
        <v>497.5</v>
      </c>
      <c r="J159">
        <v>-647.5</v>
      </c>
      <c r="K159" s="18">
        <f>=PARAM!$F$6*0.55</f>
        <v>5296.5</v>
      </c>
      <c r="L159">
        <v>80</v>
      </c>
      <c r="M159">
        <v>80</v>
      </c>
      <c r="N159" t="s">
        <v>4</v>
      </c>
    </row>
    <row r="160" spans="1:14" x14ac:dyDescent="0.25">
      <c r="A160" s="15" t="s">
        <v>4</v>
      </c>
      <c r="B160" s="17" t="s">
        <v>182</v>
      </c>
      <c r="C160" t="s">
        <v>246</v>
      </c>
      <c r="D160" t="s">
        <v>256</v>
      </c>
      <c r="E160" t="s">
        <v>4</v>
      </c>
      <c r="F160">
        <v>647.5</v>
      </c>
      <c r="G160">
        <v>-497.5</v>
      </c>
      <c r="H160" s="18">
        <f>=PARAM!$F$6*0.55</f>
        <v>5296.5</v>
      </c>
      <c r="I160">
        <v>647.5</v>
      </c>
      <c r="J160">
        <v>497.5</v>
      </c>
      <c r="K160" s="18">
        <f>=PARAM!$F$6*0.55</f>
        <v>5296.5</v>
      </c>
      <c r="L160">
        <v>80</v>
      </c>
      <c r="M160">
        <v>80</v>
      </c>
      <c r="N160" t="s">
        <v>4</v>
      </c>
    </row>
    <row r="161" spans="1:14" x14ac:dyDescent="0.25">
      <c r="A161" s="15" t="s">
        <v>4</v>
      </c>
      <c r="B161" s="17" t="s">
        <v>182</v>
      </c>
      <c r="C161" t="s">
        <v>246</v>
      </c>
      <c r="D161" t="s">
        <v>257</v>
      </c>
      <c r="E161" t="s">
        <v>4</v>
      </c>
      <c r="F161">
        <v>497.5</v>
      </c>
      <c r="G161">
        <v>647.5</v>
      </c>
      <c r="H161" s="18">
        <f>=PARAM!$F$6*0.55</f>
        <v>5296.5</v>
      </c>
      <c r="I161">
        <v>-497.5</v>
      </c>
      <c r="J161">
        <v>647.5</v>
      </c>
      <c r="K161" s="18">
        <f>=PARAM!$F$6*0.55</f>
        <v>5296.5</v>
      </c>
      <c r="L161">
        <v>80</v>
      </c>
      <c r="M161">
        <v>80</v>
      </c>
      <c r="N161" t="s">
        <v>4</v>
      </c>
    </row>
    <row r="162" spans="1:14" x14ac:dyDescent="0.25">
      <c r="A162" s="15" t="s">
        <v>4</v>
      </c>
      <c r="B162" s="17" t="s">
        <v>182</v>
      </c>
      <c r="C162" t="s">
        <v>246</v>
      </c>
      <c r="D162" t="s">
        <v>258</v>
      </c>
      <c r="E162" t="s">
        <v>4</v>
      </c>
      <c r="F162">
        <v>-647.5</v>
      </c>
      <c r="G162">
        <v>497.5</v>
      </c>
      <c r="H162" s="18">
        <f>=PARAM!$F$6*0.55</f>
        <v>5296.5</v>
      </c>
      <c r="I162">
        <v>-647.5</v>
      </c>
      <c r="J162">
        <v>-497.5</v>
      </c>
      <c r="K162" s="18">
        <f>=PARAM!$F$6*0.55</f>
        <v>5296.5</v>
      </c>
      <c r="L162">
        <v>80</v>
      </c>
      <c r="M162">
        <v>80</v>
      </c>
      <c r="N162" t="s">
        <v>4</v>
      </c>
    </row>
    <row r="163" spans="1:14" x14ac:dyDescent="0.25">
      <c r="A163" s="15" t="s">
        <v>4</v>
      </c>
      <c r="B163" s="17" t="s">
        <v>182</v>
      </c>
      <c r="C163" t="s">
        <v>246</v>
      </c>
      <c r="D163" t="s">
        <v>259</v>
      </c>
      <c r="E163" t="s">
        <v>4</v>
      </c>
      <c r="F163">
        <v>-360</v>
      </c>
      <c r="G163">
        <v>-510</v>
      </c>
      <c r="H163" s="18">
        <f>=PARAM!$F$6*0.8</f>
        <v>7704</v>
      </c>
      <c r="I163">
        <v>360</v>
      </c>
      <c r="J163">
        <v>-510</v>
      </c>
      <c r="K163" s="18">
        <f>=PARAM!$F$6*0.8</f>
        <v>7704</v>
      </c>
      <c r="L163">
        <v>80</v>
      </c>
      <c r="M163">
        <v>80</v>
      </c>
      <c r="N163" t="s">
        <v>4</v>
      </c>
    </row>
    <row r="164" spans="1:14" x14ac:dyDescent="0.25">
      <c r="A164" s="15" t="s">
        <v>4</v>
      </c>
      <c r="B164" s="17" t="s">
        <v>182</v>
      </c>
      <c r="C164" t="s">
        <v>246</v>
      </c>
      <c r="D164" t="s">
        <v>260</v>
      </c>
      <c r="E164" t="s">
        <v>4</v>
      </c>
      <c r="F164">
        <v>510</v>
      </c>
      <c r="G164">
        <v>-360</v>
      </c>
      <c r="H164" s="18">
        <f>=PARAM!$F$6*0.8</f>
        <v>7704</v>
      </c>
      <c r="I164">
        <v>510</v>
      </c>
      <c r="J164">
        <v>360</v>
      </c>
      <c r="K164" s="18">
        <f>=PARAM!$F$6*0.8</f>
        <v>7704</v>
      </c>
      <c r="L164">
        <v>80</v>
      </c>
      <c r="M164">
        <v>80</v>
      </c>
      <c r="N164" t="s">
        <v>4</v>
      </c>
    </row>
    <row r="165" spans="1:14" x14ac:dyDescent="0.25">
      <c r="A165" s="15" t="s">
        <v>4</v>
      </c>
      <c r="B165" s="17" t="s">
        <v>182</v>
      </c>
      <c r="C165" t="s">
        <v>246</v>
      </c>
      <c r="D165" t="s">
        <v>261</v>
      </c>
      <c r="E165" t="s">
        <v>4</v>
      </c>
      <c r="F165">
        <v>360</v>
      </c>
      <c r="G165">
        <v>510</v>
      </c>
      <c r="H165" s="18">
        <f>=PARAM!$F$6*0.8</f>
        <v>7704</v>
      </c>
      <c r="I165">
        <v>-360</v>
      </c>
      <c r="J165">
        <v>510</v>
      </c>
      <c r="K165" s="18">
        <f>=PARAM!$F$6*0.8</f>
        <v>7704</v>
      </c>
      <c r="L165">
        <v>80</v>
      </c>
      <c r="M165">
        <v>80</v>
      </c>
      <c r="N165" t="s">
        <v>4</v>
      </c>
    </row>
    <row r="166" spans="1:14" x14ac:dyDescent="0.25">
      <c r="A166" s="15" t="s">
        <v>4</v>
      </c>
      <c r="B166" s="17" t="s">
        <v>182</v>
      </c>
      <c r="C166" t="s">
        <v>246</v>
      </c>
      <c r="D166" t="s">
        <v>262</v>
      </c>
      <c r="E166" t="s">
        <v>4</v>
      </c>
      <c r="F166">
        <v>-510</v>
      </c>
      <c r="G166">
        <v>360</v>
      </c>
      <c r="H166" s="18">
        <f>=PARAM!$F$6*0.8</f>
        <v>7704</v>
      </c>
      <c r="I166">
        <v>-510</v>
      </c>
      <c r="J166">
        <v>-360</v>
      </c>
      <c r="K166" s="18">
        <f>=PARAM!$F$6*0.8</f>
        <v>7704</v>
      </c>
      <c r="L166">
        <v>80</v>
      </c>
      <c r="M166">
        <v>80</v>
      </c>
      <c r="N166" t="s">
        <v>4</v>
      </c>
    </row>
    <row r="167" spans="1:14" x14ac:dyDescent="0.25">
      <c r="A167" s="15" t="s">
        <v>4</v>
      </c>
      <c r="B167" s="17" t="s">
        <v>182</v>
      </c>
      <c r="C167" t="s">
        <v>246</v>
      </c>
      <c r="D167" t="s">
        <v>263</v>
      </c>
      <c r="E167" t="s">
        <v>4</v>
      </c>
      <c r="F167">
        <v>-800</v>
      </c>
      <c r="G167">
        <v>-950</v>
      </c>
      <c r="H167" s="18">
        <f>=PARAM!$F$6*0</f>
        <v>0</v>
      </c>
      <c r="I167">
        <v>646</v>
      </c>
      <c r="J167">
        <v>-796</v>
      </c>
      <c r="K167" s="18">
        <f>=PARAM!$F$6*0.28</f>
        <v>2696.4</v>
      </c>
      <c r="L167">
        <v>90</v>
      </c>
      <c r="M167">
        <v>110</v>
      </c>
      <c r="N167" t="s">
        <v>4</v>
      </c>
    </row>
    <row r="168" spans="1:14" x14ac:dyDescent="0.25">
      <c r="A168" s="15" t="s">
        <v>4</v>
      </c>
      <c r="B168" s="17" t="s">
        <v>182</v>
      </c>
      <c r="C168" t="s">
        <v>246</v>
      </c>
      <c r="D168" t="s">
        <v>264</v>
      </c>
      <c r="E168" t="s">
        <v>4</v>
      </c>
      <c r="F168">
        <v>950</v>
      </c>
      <c r="G168">
        <v>-800</v>
      </c>
      <c r="H168" s="18">
        <f>=PARAM!$F$6*0</f>
        <v>0</v>
      </c>
      <c r="I168">
        <v>796</v>
      </c>
      <c r="J168">
        <v>646</v>
      </c>
      <c r="K168" s="18">
        <f>=PARAM!$F$6*0.28</f>
        <v>2696.4</v>
      </c>
      <c r="L168">
        <v>90</v>
      </c>
      <c r="M168">
        <v>110</v>
      </c>
      <c r="N168" t="s">
        <v>4</v>
      </c>
    </row>
    <row r="169" spans="1:14" x14ac:dyDescent="0.25">
      <c r="A169" s="15" t="s">
        <v>4</v>
      </c>
      <c r="B169" s="17" t="s">
        <v>182</v>
      </c>
      <c r="C169" t="s">
        <v>246</v>
      </c>
      <c r="D169" t="s">
        <v>265</v>
      </c>
      <c r="E169" t="s">
        <v>4</v>
      </c>
      <c r="F169">
        <v>800</v>
      </c>
      <c r="G169">
        <v>950</v>
      </c>
      <c r="H169" s="18">
        <f>=PARAM!$F$6*0</f>
        <v>0</v>
      </c>
      <c r="I169">
        <v>-646</v>
      </c>
      <c r="J169">
        <v>796</v>
      </c>
      <c r="K169" s="18">
        <f>=PARAM!$F$6*0.28</f>
        <v>2696.4</v>
      </c>
      <c r="L169">
        <v>90</v>
      </c>
      <c r="M169">
        <v>110</v>
      </c>
      <c r="N169" t="s">
        <v>4</v>
      </c>
    </row>
    <row r="170" spans="1:14" x14ac:dyDescent="0.25">
      <c r="A170" s="15" t="s">
        <v>4</v>
      </c>
      <c r="B170" s="17" t="s">
        <v>182</v>
      </c>
      <c r="C170" t="s">
        <v>246</v>
      </c>
      <c r="D170" t="s">
        <v>266</v>
      </c>
      <c r="E170" t="s">
        <v>4</v>
      </c>
      <c r="F170">
        <v>-950</v>
      </c>
      <c r="G170">
        <v>800</v>
      </c>
      <c r="H170" s="18">
        <f>=PARAM!$F$6*0</f>
        <v>0</v>
      </c>
      <c r="I170">
        <v>-796</v>
      </c>
      <c r="J170">
        <v>-646</v>
      </c>
      <c r="K170" s="18">
        <f>=PARAM!$F$6*0.28</f>
        <v>2696.4</v>
      </c>
      <c r="L170">
        <v>90</v>
      </c>
      <c r="M170">
        <v>110</v>
      </c>
      <c r="N170" t="s">
        <v>4</v>
      </c>
    </row>
    <row r="171" spans="1:14" x14ac:dyDescent="0.25">
      <c r="A171" s="15" t="s">
        <v>4</v>
      </c>
      <c r="B171" s="17" t="s">
        <v>182</v>
      </c>
      <c r="C171" t="s">
        <v>246</v>
      </c>
      <c r="D171" t="s">
        <v>267</v>
      </c>
      <c r="E171" t="s">
        <v>4</v>
      </c>
      <c r="F171">
        <v>-646</v>
      </c>
      <c r="G171">
        <v>-796</v>
      </c>
      <c r="H171" s="18">
        <f>=PARAM!$F$6*0.28</f>
        <v>2696.4</v>
      </c>
      <c r="I171">
        <v>497.5</v>
      </c>
      <c r="J171">
        <v>-647.5</v>
      </c>
      <c r="K171" s="18">
        <f>=PARAM!$F$6*0.55</f>
        <v>5296.5</v>
      </c>
      <c r="L171">
        <v>110</v>
      </c>
      <c r="M171">
        <v>110</v>
      </c>
      <c r="N171" t="s">
        <v>4</v>
      </c>
    </row>
    <row r="172" spans="1:14" x14ac:dyDescent="0.25">
      <c r="A172" s="15" t="s">
        <v>4</v>
      </c>
      <c r="B172" s="17" t="s">
        <v>182</v>
      </c>
      <c r="C172" t="s">
        <v>246</v>
      </c>
      <c r="D172" t="s">
        <v>268</v>
      </c>
      <c r="E172" t="s">
        <v>4</v>
      </c>
      <c r="F172">
        <v>796</v>
      </c>
      <c r="G172">
        <v>-646</v>
      </c>
      <c r="H172" s="18">
        <f>=PARAM!$F$6*0.28</f>
        <v>2696.4</v>
      </c>
      <c r="I172">
        <v>647.5</v>
      </c>
      <c r="J172">
        <v>497.5</v>
      </c>
      <c r="K172" s="18">
        <f>=PARAM!$F$6*0.55</f>
        <v>5296.5</v>
      </c>
      <c r="L172">
        <v>110</v>
      </c>
      <c r="M172">
        <v>110</v>
      </c>
      <c r="N172" t="s">
        <v>4</v>
      </c>
    </row>
    <row r="173" spans="1:14" x14ac:dyDescent="0.25">
      <c r="A173" s="15" t="s">
        <v>4</v>
      </c>
      <c r="B173" s="17" t="s">
        <v>182</v>
      </c>
      <c r="C173" t="s">
        <v>246</v>
      </c>
      <c r="D173" t="s">
        <v>269</v>
      </c>
      <c r="E173" t="s">
        <v>4</v>
      </c>
      <c r="F173">
        <v>646</v>
      </c>
      <c r="G173">
        <v>796</v>
      </c>
      <c r="H173" s="18">
        <f>=PARAM!$F$6*0.28</f>
        <v>2696.4</v>
      </c>
      <c r="I173">
        <v>-497.5</v>
      </c>
      <c r="J173">
        <v>647.5</v>
      </c>
      <c r="K173" s="18">
        <f>=PARAM!$F$6*0.55</f>
        <v>5296.5</v>
      </c>
      <c r="L173">
        <v>110</v>
      </c>
      <c r="M173">
        <v>110</v>
      </c>
      <c r="N173" t="s">
        <v>4</v>
      </c>
    </row>
    <row r="174" spans="1:14" x14ac:dyDescent="0.25">
      <c r="A174" s="15" t="s">
        <v>4</v>
      </c>
      <c r="B174" s="17" t="s">
        <v>182</v>
      </c>
      <c r="C174" t="s">
        <v>246</v>
      </c>
      <c r="D174" t="s">
        <v>270</v>
      </c>
      <c r="E174" t="s">
        <v>4</v>
      </c>
      <c r="F174">
        <v>-796</v>
      </c>
      <c r="G174">
        <v>646</v>
      </c>
      <c r="H174" s="18">
        <f>=PARAM!$F$6*0.28</f>
        <v>2696.4</v>
      </c>
      <c r="I174">
        <v>-647.5</v>
      </c>
      <c r="J174">
        <v>-497.5</v>
      </c>
      <c r="K174" s="18">
        <f>=PARAM!$F$6*0.55</f>
        <v>5296.5</v>
      </c>
      <c r="L174">
        <v>110</v>
      </c>
      <c r="M174">
        <v>110</v>
      </c>
      <c r="N174" t="s">
        <v>4</v>
      </c>
    </row>
    <row r="175" spans="1:14" x14ac:dyDescent="0.25">
      <c r="A175" s="15" t="s">
        <v>4</v>
      </c>
      <c r="B175" s="17" t="s">
        <v>182</v>
      </c>
      <c r="C175" t="s">
        <v>246</v>
      </c>
      <c r="D175" t="s">
        <v>271</v>
      </c>
      <c r="E175" t="s">
        <v>4</v>
      </c>
      <c r="F175">
        <v>-497.5</v>
      </c>
      <c r="G175">
        <v>-647.5</v>
      </c>
      <c r="H175" s="18">
        <f>=PARAM!$F$6*0.55</f>
        <v>5296.5</v>
      </c>
      <c r="I175">
        <v>360</v>
      </c>
      <c r="J175">
        <v>-510</v>
      </c>
      <c r="K175" s="18">
        <f>=PARAM!$F$6*0.8</f>
        <v>7704</v>
      </c>
      <c r="L175">
        <v>110</v>
      </c>
      <c r="M175">
        <v>110</v>
      </c>
      <c r="N175" t="s">
        <v>4</v>
      </c>
    </row>
    <row r="176" spans="1:14" x14ac:dyDescent="0.25">
      <c r="A176" s="15" t="s">
        <v>4</v>
      </c>
      <c r="B176" s="17" t="s">
        <v>182</v>
      </c>
      <c r="C176" t="s">
        <v>246</v>
      </c>
      <c r="D176" t="s">
        <v>272</v>
      </c>
      <c r="E176" t="s">
        <v>4</v>
      </c>
      <c r="F176">
        <v>647.5</v>
      </c>
      <c r="G176">
        <v>-497.5</v>
      </c>
      <c r="H176" s="18">
        <f>=PARAM!$F$6*0.55</f>
        <v>5296.5</v>
      </c>
      <c r="I176">
        <v>510</v>
      </c>
      <c r="J176">
        <v>360</v>
      </c>
      <c r="K176" s="18">
        <f>=PARAM!$F$6*0.8</f>
        <v>7704</v>
      </c>
      <c r="L176">
        <v>110</v>
      </c>
      <c r="M176">
        <v>110</v>
      </c>
      <c r="N176" t="s">
        <v>4</v>
      </c>
    </row>
    <row r="177" spans="1:14" x14ac:dyDescent="0.25">
      <c r="A177" s="15" t="s">
        <v>4</v>
      </c>
      <c r="B177" s="17" t="s">
        <v>182</v>
      </c>
      <c r="C177" t="s">
        <v>246</v>
      </c>
      <c r="D177" t="s">
        <v>273</v>
      </c>
      <c r="E177" t="s">
        <v>4</v>
      </c>
      <c r="F177">
        <v>497.5</v>
      </c>
      <c r="G177">
        <v>647.5</v>
      </c>
      <c r="H177" s="18">
        <f>=PARAM!$F$6*0.55</f>
        <v>5296.5</v>
      </c>
      <c r="I177">
        <v>-360</v>
      </c>
      <c r="J177">
        <v>510</v>
      </c>
      <c r="K177" s="18">
        <f>=PARAM!$F$6*0.8</f>
        <v>7704</v>
      </c>
      <c r="L177">
        <v>110</v>
      </c>
      <c r="M177">
        <v>110</v>
      </c>
      <c r="N177" t="s">
        <v>4</v>
      </c>
    </row>
    <row r="178" spans="1:14" x14ac:dyDescent="0.25">
      <c r="A178" s="15" t="s">
        <v>4</v>
      </c>
      <c r="B178" s="17" t="s">
        <v>182</v>
      </c>
      <c r="C178" t="s">
        <v>246</v>
      </c>
      <c r="D178" t="s">
        <v>274</v>
      </c>
      <c r="E178" t="s">
        <v>4</v>
      </c>
      <c r="F178">
        <v>-647.5</v>
      </c>
      <c r="G178">
        <v>497.5</v>
      </c>
      <c r="H178" s="18">
        <f>=PARAM!$F$6*0.55</f>
        <v>5296.5</v>
      </c>
      <c r="I178">
        <v>-510</v>
      </c>
      <c r="J178">
        <v>-360</v>
      </c>
      <c r="K178" s="18">
        <f>=PARAM!$F$6*0.8</f>
        <v>7704</v>
      </c>
      <c r="L178">
        <v>110</v>
      </c>
      <c r="M178">
        <v>110</v>
      </c>
      <c r="N178" t="s">
        <v>4</v>
      </c>
    </row>
    <row r="179" spans="1:14" x14ac:dyDescent="0.25">
      <c r="A179" s="15" t="s">
        <v>4</v>
      </c>
      <c r="B179" s="17" t="s">
        <v>182</v>
      </c>
      <c r="C179" t="s">
        <v>246</v>
      </c>
      <c r="D179" t="s">
        <v>275</v>
      </c>
      <c r="E179" t="s">
        <v>4</v>
      </c>
      <c r="F179">
        <v>-360</v>
      </c>
      <c r="G179">
        <v>-510</v>
      </c>
      <c r="H179" s="18">
        <f>=PARAM!$F$6*0.8</f>
        <v>7704</v>
      </c>
      <c r="I179">
        <v>250</v>
      </c>
      <c r="J179">
        <v>-400</v>
      </c>
      <c r="K179" s="18">
        <f>=PARAM!$F$6*1</f>
        <v>9630</v>
      </c>
      <c r="L179">
        <v>110</v>
      </c>
      <c r="M179">
        <v>90</v>
      </c>
      <c r="N179" t="s">
        <v>4</v>
      </c>
    </row>
    <row r="180" spans="1:14" x14ac:dyDescent="0.25">
      <c r="A180" s="15" t="s">
        <v>4</v>
      </c>
      <c r="B180" s="17" t="s">
        <v>182</v>
      </c>
      <c r="C180" t="s">
        <v>246</v>
      </c>
      <c r="D180" t="s">
        <v>276</v>
      </c>
      <c r="E180" t="s">
        <v>4</v>
      </c>
      <c r="F180">
        <v>510</v>
      </c>
      <c r="G180">
        <v>-360</v>
      </c>
      <c r="H180" s="18">
        <f>=PARAM!$F$6*0.8</f>
        <v>7704</v>
      </c>
      <c r="I180">
        <v>400</v>
      </c>
      <c r="J180">
        <v>250</v>
      </c>
      <c r="K180" s="18">
        <f>=PARAM!$F$6*1</f>
        <v>9630</v>
      </c>
      <c r="L180">
        <v>110</v>
      </c>
      <c r="M180">
        <v>90</v>
      </c>
      <c r="N180" t="s">
        <v>4</v>
      </c>
    </row>
    <row r="181" spans="1:14" x14ac:dyDescent="0.25">
      <c r="A181" s="15" t="s">
        <v>4</v>
      </c>
      <c r="B181" s="17" t="s">
        <v>182</v>
      </c>
      <c r="C181" t="s">
        <v>246</v>
      </c>
      <c r="D181" t="s">
        <v>277</v>
      </c>
      <c r="E181" t="s">
        <v>4</v>
      </c>
      <c r="F181">
        <v>360</v>
      </c>
      <c r="G181">
        <v>510</v>
      </c>
      <c r="H181" s="18">
        <f>=PARAM!$F$6*0.8</f>
        <v>7704</v>
      </c>
      <c r="I181">
        <v>-250</v>
      </c>
      <c r="J181">
        <v>400</v>
      </c>
      <c r="K181" s="18">
        <f>=PARAM!$F$6*1</f>
        <v>9630</v>
      </c>
      <c r="L181">
        <v>110</v>
      </c>
      <c r="M181">
        <v>90</v>
      </c>
      <c r="N181" t="s">
        <v>4</v>
      </c>
    </row>
    <row r="182" spans="1:14" x14ac:dyDescent="0.25">
      <c r="A182" s="15" t="s">
        <v>4</v>
      </c>
      <c r="B182" s="17" t="s">
        <v>182</v>
      </c>
      <c r="C182" t="s">
        <v>246</v>
      </c>
      <c r="D182" t="s">
        <v>278</v>
      </c>
      <c r="E182" t="s">
        <v>4</v>
      </c>
      <c r="F182">
        <v>-510</v>
      </c>
      <c r="G182">
        <v>360</v>
      </c>
      <c r="H182" s="18">
        <f>=PARAM!$F$6*0.8</f>
        <v>7704</v>
      </c>
      <c r="I182">
        <v>-400</v>
      </c>
      <c r="J182">
        <v>-250</v>
      </c>
      <c r="K182" s="18">
        <f>=PARAM!$F$6*1</f>
        <v>9630</v>
      </c>
      <c r="L182">
        <v>110</v>
      </c>
      <c r="M182">
        <v>90</v>
      </c>
      <c r="N182" t="s">
        <v>4</v>
      </c>
    </row>
    <row r="183" spans="1:12" x14ac:dyDescent="0.25">
      <c r="A183" s="15" t="s">
        <v>4</v>
      </c>
      <c r="B183" s="16" t="s">
        <v>169</v>
      </c>
      <c r="C183" t="s">
        <v>57</v>
      </c>
      <c r="D183" t="s">
        <v>170</v>
      </c>
      <c r="E183" t="s">
        <v>171</v>
      </c>
      <c r="F183" t="s">
        <v>163</v>
      </c>
      <c r="G183" t="s">
        <v>164</v>
      </c>
      <c r="H183" t="s">
        <v>201</v>
      </c>
      <c r="I183" t="s">
        <v>202</v>
      </c>
      <c r="J183" t="s">
        <v>203</v>
      </c>
      <c r="K183" t="s">
        <v>204</v>
      </c>
      <c r="L183" t="s">
        <v>205</v>
      </c>
    </row>
    <row r="184" spans="1:12" x14ac:dyDescent="0.25">
      <c r="A184" s="15" t="s">
        <v>4</v>
      </c>
      <c r="B184" s="17" t="s">
        <v>182</v>
      </c>
      <c r="C184" t="s">
        <v>246</v>
      </c>
      <c r="D184" t="s">
        <v>131</v>
      </c>
      <c r="E184" t="s">
        <v>243</v>
      </c>
      <c r="F184">
        <v>0</v>
      </c>
      <c r="G184">
        <v>0</v>
      </c>
      <c r="H184" s="18">
        <f>=PARAM!$F$6+60</f>
        <v>9690</v>
      </c>
      <c r="I184" t="s">
        <v>209</v>
      </c>
      <c r="J184" t="s">
        <v>4</v>
      </c>
      <c r="K184" t="s">
        <v>4</v>
      </c>
      <c r="L184" t="s">
        <v>4</v>
      </c>
    </row>
    <row r="185" spans="1:12" x14ac:dyDescent="0.25">
      <c r="A185" s="15" t="s">
        <v>4</v>
      </c>
      <c r="B185" s="17" t="s">
        <v>182</v>
      </c>
      <c r="C185" t="s">
        <v>246</v>
      </c>
      <c r="D185" t="s">
        <v>279</v>
      </c>
      <c r="E185" t="s">
        <v>74</v>
      </c>
      <c r="F185">
        <v>-500</v>
      </c>
      <c r="G185">
        <v>-220</v>
      </c>
      <c r="H185" s="18">
        <f>=PARAM!$F$6+100</f>
        <v>9730</v>
      </c>
      <c r="I185" t="s">
        <v>280</v>
      </c>
      <c r="J185" t="s">
        <v>4</v>
      </c>
      <c r="K185" t="s">
        <v>4</v>
      </c>
      <c r="L185" t="s">
        <v>4</v>
      </c>
    </row>
    <row r="186" spans="1:12" x14ac:dyDescent="0.25">
      <c r="A186" s="15" t="s">
        <v>4</v>
      </c>
      <c r="B186" s="17" t="s">
        <v>182</v>
      </c>
      <c r="C186" t="s">
        <v>246</v>
      </c>
      <c r="D186" t="s">
        <v>281</v>
      </c>
      <c r="E186" t="s">
        <v>74</v>
      </c>
      <c r="F186">
        <v>-500</v>
      </c>
      <c r="G186">
        <v>220</v>
      </c>
      <c r="H186" s="18">
        <f>=PARAM!$F$6+100</f>
        <v>9730</v>
      </c>
      <c r="I186" t="s">
        <v>280</v>
      </c>
      <c r="J186" t="s">
        <v>4</v>
      </c>
      <c r="K186" t="s">
        <v>4</v>
      </c>
      <c r="L186" t="s">
        <v>4</v>
      </c>
    </row>
    <row r="187" spans="1:12" x14ac:dyDescent="0.25">
      <c r="A187" s="15" t="s">
        <v>4</v>
      </c>
      <c r="B187" s="17" t="s">
        <v>182</v>
      </c>
      <c r="C187" t="s">
        <v>246</v>
      </c>
      <c r="D187" t="s">
        <v>282</v>
      </c>
      <c r="E187" t="s">
        <v>74</v>
      </c>
      <c r="F187">
        <v>150</v>
      </c>
      <c r="G187">
        <v>-480</v>
      </c>
      <c r="H187">
        <v>820</v>
      </c>
      <c r="I187" t="s">
        <v>280</v>
      </c>
      <c r="J187" t="s">
        <v>4</v>
      </c>
      <c r="K187" t="s">
        <v>4</v>
      </c>
      <c r="L187" t="s">
        <v>4</v>
      </c>
    </row>
    <row r="188" spans="1:12" x14ac:dyDescent="0.25">
      <c r="A188" s="15" t="s">
        <v>4</v>
      </c>
      <c r="B188" s="17" t="s">
        <v>182</v>
      </c>
      <c r="C188" t="s">
        <v>246</v>
      </c>
      <c r="D188" t="s">
        <v>283</v>
      </c>
      <c r="E188" t="s">
        <v>74</v>
      </c>
      <c r="F188">
        <v>150</v>
      </c>
      <c r="G188">
        <v>480</v>
      </c>
      <c r="H188">
        <v>820</v>
      </c>
      <c r="I188" t="s">
        <v>280</v>
      </c>
      <c r="J188" t="s">
        <v>4</v>
      </c>
      <c r="K188" t="s">
        <v>4</v>
      </c>
      <c r="L188" t="s">
        <v>4</v>
      </c>
    </row>
    <row r="189" spans="1:12" x14ac:dyDescent="0.25">
      <c r="A189" s="15" t="s">
        <v>4</v>
      </c>
      <c r="B189" s="17" t="s">
        <v>182</v>
      </c>
      <c r="C189" t="s">
        <v>246</v>
      </c>
      <c r="D189" t="s">
        <v>284</v>
      </c>
      <c r="E189" t="s">
        <v>74</v>
      </c>
      <c r="F189">
        <v>-150</v>
      </c>
      <c r="G189">
        <v>-480</v>
      </c>
      <c r="H189">
        <v>820</v>
      </c>
      <c r="I189" t="s">
        <v>280</v>
      </c>
      <c r="J189">
        <v>0</v>
      </c>
      <c r="K189">
        <v>0</v>
      </c>
      <c r="L189">
        <v>180</v>
      </c>
    </row>
    <row r="190" spans="1:12" x14ac:dyDescent="0.25">
      <c r="A190" s="15" t="s">
        <v>4</v>
      </c>
      <c r="B190" s="17" t="s">
        <v>182</v>
      </c>
      <c r="C190" t="s">
        <v>246</v>
      </c>
      <c r="D190" t="s">
        <v>285</v>
      </c>
      <c r="E190" t="s">
        <v>74</v>
      </c>
      <c r="F190">
        <v>-150</v>
      </c>
      <c r="G190">
        <v>480</v>
      </c>
      <c r="H190">
        <v>820</v>
      </c>
      <c r="I190" t="s">
        <v>280</v>
      </c>
      <c r="J190">
        <v>0</v>
      </c>
      <c r="K190">
        <v>0</v>
      </c>
      <c r="L190">
        <v>180</v>
      </c>
    </row>
    <row r="191" spans="1:14" x14ac:dyDescent="0.25">
      <c r="A191" s="15" t="s">
        <v>4</v>
      </c>
      <c r="B191" s="16" t="s">
        <v>169</v>
      </c>
      <c r="C191" t="s">
        <v>57</v>
      </c>
      <c r="D191" t="s">
        <v>170</v>
      </c>
      <c r="E191" t="s">
        <v>171</v>
      </c>
      <c r="F191" t="s">
        <v>172</v>
      </c>
      <c r="G191" t="s">
        <v>173</v>
      </c>
      <c r="H191" t="s">
        <v>174</v>
      </c>
      <c r="I191" t="s">
        <v>175</v>
      </c>
      <c r="J191" t="s">
        <v>176</v>
      </c>
      <c r="K191" t="s">
        <v>177</v>
      </c>
      <c r="L191" t="s">
        <v>178</v>
      </c>
      <c r="M191" t="s">
        <v>179</v>
      </c>
      <c r="N191" t="s">
        <v>180</v>
      </c>
    </row>
    <row r="192" spans="1:14" x14ac:dyDescent="0.25">
      <c r="A192" s="15" t="s">
        <v>4</v>
      </c>
      <c r="B192" s="17" t="s">
        <v>182</v>
      </c>
      <c r="C192" t="s">
        <v>246</v>
      </c>
      <c r="D192" t="s">
        <v>286</v>
      </c>
      <c r="E192" t="s">
        <v>4</v>
      </c>
      <c r="F192">
        <v>1750</v>
      </c>
      <c r="G192">
        <v>-410</v>
      </c>
      <c r="H192">
        <v>890</v>
      </c>
      <c r="I192">
        <v>1750</v>
      </c>
      <c r="J192">
        <v>410</v>
      </c>
      <c r="K192">
        <v>890</v>
      </c>
      <c r="L192" t="s">
        <v>4</v>
      </c>
      <c r="M192" t="s">
        <v>4</v>
      </c>
      <c r="N192" t="s">
        <v>4</v>
      </c>
    </row>
    <row r="193" spans="1:14" x14ac:dyDescent="0.25">
      <c r="A193" s="15" t="s">
        <v>4</v>
      </c>
      <c r="B193" s="17" t="s">
        <v>182</v>
      </c>
      <c r="C193" t="s">
        <v>246</v>
      </c>
      <c r="D193" t="s">
        <v>287</v>
      </c>
      <c r="E193" t="s">
        <v>4</v>
      </c>
      <c r="F193">
        <v>-1600</v>
      </c>
      <c r="G193">
        <v>-410</v>
      </c>
      <c r="H193">
        <v>890</v>
      </c>
      <c r="I193">
        <v>-1600</v>
      </c>
      <c r="J193">
        <v>410</v>
      </c>
      <c r="K193">
        <v>890</v>
      </c>
      <c r="L193" t="s">
        <v>4</v>
      </c>
      <c r="M193" t="s">
        <v>4</v>
      </c>
      <c r="N193" t="s">
        <v>4</v>
      </c>
    </row>
    <row r="194" spans="1:12" x14ac:dyDescent="0.25">
      <c r="A194" s="15" t="s">
        <v>4</v>
      </c>
      <c r="B194" s="16" t="s">
        <v>169</v>
      </c>
      <c r="C194" t="s">
        <v>57</v>
      </c>
      <c r="D194" t="s">
        <v>170</v>
      </c>
      <c r="E194" t="s">
        <v>171</v>
      </c>
      <c r="F194" t="s">
        <v>163</v>
      </c>
      <c r="G194" t="s">
        <v>164</v>
      </c>
      <c r="H194" t="s">
        <v>201</v>
      </c>
      <c r="I194" t="s">
        <v>202</v>
      </c>
      <c r="J194" t="s">
        <v>203</v>
      </c>
      <c r="K194" t="s">
        <v>204</v>
      </c>
      <c r="L194" t="s">
        <v>205</v>
      </c>
    </row>
    <row r="195" spans="1:6" x14ac:dyDescent="0.25">
      <c r="A195" s="15" t="s">
        <v>4</v>
      </c>
      <c r="B195" s="17" t="s">
        <v>182</v>
      </c>
      <c r="C195" t="s">
        <v>246</v>
      </c>
      <c r="D195" t="s">
        <v>206</v>
      </c>
      <c r="E195" t="s">
        <v>247</v>
      </c>
      <c r="F195" t="s">
        <v>74</v>
      </c>
    </row>
    <row r="197" spans="1:14" x14ac:dyDescent="0.25">
      <c r="A197" s="15" t="s">
        <v>4</v>
      </c>
      <c r="B197" s="16" t="s">
        <v>169</v>
      </c>
      <c r="C197" t="s">
        <v>57</v>
      </c>
      <c r="D197" t="s">
        <v>170</v>
      </c>
      <c r="E197" t="s">
        <v>171</v>
      </c>
      <c r="F197" t="s">
        <v>172</v>
      </c>
      <c r="G197" t="s">
        <v>173</v>
      </c>
      <c r="H197" t="s">
        <v>174</v>
      </c>
      <c r="I197" t="s">
        <v>175</v>
      </c>
      <c r="J197" t="s">
        <v>176</v>
      </c>
      <c r="K197" t="s">
        <v>177</v>
      </c>
      <c r="L197" t="s">
        <v>178</v>
      </c>
      <c r="M197" t="s">
        <v>179</v>
      </c>
      <c r="N197" t="s">
        <v>180</v>
      </c>
    </row>
    <row r="198" spans="1:14" x14ac:dyDescent="0.25">
      <c r="A198" s="15" t="s">
        <v>288</v>
      </c>
      <c r="B198" s="17" t="s">
        <v>182</v>
      </c>
      <c r="C198" t="s">
        <v>289</v>
      </c>
      <c r="D198" t="s">
        <v>290</v>
      </c>
      <c r="E198" t="s">
        <v>4</v>
      </c>
      <c r="F198">
        <v>0</v>
      </c>
      <c r="G198">
        <v>650</v>
      </c>
      <c r="H198">
        <v>1380</v>
      </c>
      <c r="I198" s="18">
        <f>=PARAM!$C$12</f>
        <v>3000</v>
      </c>
      <c r="J198">
        <v>650</v>
      </c>
      <c r="K198">
        <v>1380</v>
      </c>
      <c r="L198" t="s">
        <v>4</v>
      </c>
      <c r="M198" t="s">
        <v>4</v>
      </c>
      <c r="N198">
        <v>90</v>
      </c>
    </row>
    <row r="199" spans="1:14" x14ac:dyDescent="0.25">
      <c r="A199" s="15" t="s">
        <v>4</v>
      </c>
      <c r="B199" s="17" t="s">
        <v>182</v>
      </c>
      <c r="C199" t="s">
        <v>289</v>
      </c>
      <c r="D199" t="s">
        <v>291</v>
      </c>
      <c r="E199" t="s">
        <v>4</v>
      </c>
      <c r="F199">
        <v>0</v>
      </c>
      <c r="G199">
        <v>-650</v>
      </c>
      <c r="H199">
        <v>1380</v>
      </c>
      <c r="I199" s="18">
        <f>=PARAM!$C$12</f>
        <v>3000</v>
      </c>
      <c r="J199">
        <v>-650</v>
      </c>
      <c r="K199">
        <v>1380</v>
      </c>
      <c r="L199" t="s">
        <v>4</v>
      </c>
      <c r="M199" t="s">
        <v>4</v>
      </c>
      <c r="N199" t="s">
        <v>4</v>
      </c>
    </row>
    <row r="200" spans="1:14" x14ac:dyDescent="0.25">
      <c r="A200" s="15" t="s">
        <v>4</v>
      </c>
      <c r="B200" s="17" t="s">
        <v>182</v>
      </c>
      <c r="C200" t="s">
        <v>289</v>
      </c>
      <c r="D200" t="s">
        <v>96</v>
      </c>
      <c r="E200" t="s">
        <v>4</v>
      </c>
      <c r="F200">
        <v>0</v>
      </c>
      <c r="G200">
        <v>0</v>
      </c>
      <c r="H200">
        <v>0</v>
      </c>
      <c r="I200" s="18">
        <f>=PARAM!$C$12</f>
        <v>3000</v>
      </c>
      <c r="J200">
        <v>0</v>
      </c>
      <c r="K200">
        <v>0</v>
      </c>
      <c r="L200" t="s">
        <v>4</v>
      </c>
      <c r="M200" t="s">
        <v>4</v>
      </c>
      <c r="N200" t="s">
        <v>4</v>
      </c>
    </row>
    <row r="201" spans="1:14" x14ac:dyDescent="0.25">
      <c r="A201" s="15" t="s">
        <v>4</v>
      </c>
      <c r="B201" s="17" t="s">
        <v>182</v>
      </c>
      <c r="C201" t="s">
        <v>289</v>
      </c>
      <c r="D201" t="s">
        <v>97</v>
      </c>
      <c r="E201" t="s">
        <v>4</v>
      </c>
      <c r="F201" s="18">
        <f>=PARAM!$C$12</f>
        <v>3000</v>
      </c>
      <c r="G201">
        <v>-650</v>
      </c>
      <c r="H201">
        <v>1555</v>
      </c>
      <c r="I201" s="18">
        <f>=PARAM!$C$12</f>
        <v>3000</v>
      </c>
      <c r="J201">
        <v>650</v>
      </c>
      <c r="K201">
        <v>1555</v>
      </c>
      <c r="L201" t="s">
        <v>4</v>
      </c>
      <c r="M201" t="s">
        <v>4</v>
      </c>
      <c r="N201" t="s">
        <v>4</v>
      </c>
    </row>
    <row r="202" spans="1:14" x14ac:dyDescent="0.25">
      <c r="A202" s="15" t="s">
        <v>4</v>
      </c>
      <c r="B202" s="17" t="s">
        <v>182</v>
      </c>
      <c r="C202" t="s">
        <v>289</v>
      </c>
      <c r="D202" t="s">
        <v>292</v>
      </c>
      <c r="E202" t="s">
        <v>4</v>
      </c>
      <c r="F202">
        <v>0</v>
      </c>
      <c r="G202">
        <v>650</v>
      </c>
      <c r="H202">
        <v>1380</v>
      </c>
      <c r="I202" s="18">
        <f>=PARAM!$C$12</f>
        <v>3000</v>
      </c>
      <c r="J202">
        <v>0</v>
      </c>
      <c r="K202">
        <v>0</v>
      </c>
      <c r="L202">
        <v>90</v>
      </c>
      <c r="M202">
        <v>200</v>
      </c>
      <c r="N202" t="s">
        <v>4</v>
      </c>
    </row>
    <row r="203" spans="1:14" x14ac:dyDescent="0.25">
      <c r="A203" s="15" t="s">
        <v>4</v>
      </c>
      <c r="B203" s="17" t="s">
        <v>182</v>
      </c>
      <c r="C203" t="s">
        <v>289</v>
      </c>
      <c r="D203" t="s">
        <v>293</v>
      </c>
      <c r="E203" t="s">
        <v>4</v>
      </c>
      <c r="F203">
        <v>0</v>
      </c>
      <c r="G203">
        <v>-650</v>
      </c>
      <c r="H203">
        <v>1380</v>
      </c>
      <c r="I203" s="18">
        <f>=PARAM!$C$12</f>
        <v>3000</v>
      </c>
      <c r="J203">
        <v>0</v>
      </c>
      <c r="K203">
        <v>0</v>
      </c>
      <c r="L203">
        <v>90</v>
      </c>
      <c r="M203">
        <v>200</v>
      </c>
      <c r="N203" t="s">
        <v>4</v>
      </c>
    </row>
    <row r="204" spans="1:14" x14ac:dyDescent="0.25">
      <c r="A204" s="15" t="s">
        <v>4</v>
      </c>
      <c r="B204" s="17" t="s">
        <v>182</v>
      </c>
      <c r="C204" t="s">
        <v>289</v>
      </c>
      <c r="D204" t="s">
        <v>294</v>
      </c>
      <c r="E204" t="s">
        <v>4</v>
      </c>
      <c r="F204" s="18">
        <f>=PARAM!$C$12</f>
        <v>3000</v>
      </c>
      <c r="G204">
        <v>650</v>
      </c>
      <c r="H204">
        <v>1380</v>
      </c>
      <c r="I204" s="18">
        <f>=PARAM!$C$12</f>
        <v>3000</v>
      </c>
      <c r="J204">
        <v>0</v>
      </c>
      <c r="K204">
        <v>0</v>
      </c>
      <c r="L204">
        <v>60</v>
      </c>
      <c r="M204">
        <v>110</v>
      </c>
      <c r="N204" t="s">
        <v>4</v>
      </c>
    </row>
    <row r="205" spans="1:14" x14ac:dyDescent="0.25">
      <c r="A205" s="15" t="s">
        <v>4</v>
      </c>
      <c r="B205" s="17" t="s">
        <v>182</v>
      </c>
      <c r="C205" t="s">
        <v>289</v>
      </c>
      <c r="D205" t="s">
        <v>295</v>
      </c>
      <c r="E205" t="s">
        <v>4</v>
      </c>
      <c r="F205" s="18">
        <f>=PARAM!$C$12</f>
        <v>3000</v>
      </c>
      <c r="G205">
        <v>-650</v>
      </c>
      <c r="H205">
        <v>1380</v>
      </c>
      <c r="I205" s="18">
        <f>=PARAM!$C$12</f>
        <v>3000</v>
      </c>
      <c r="J205">
        <v>0</v>
      </c>
      <c r="K205">
        <v>0</v>
      </c>
      <c r="L205">
        <v>60</v>
      </c>
      <c r="M205">
        <v>110</v>
      </c>
      <c r="N205" t="s">
        <v>4</v>
      </c>
    </row>
    <row r="206" spans="1:14" x14ac:dyDescent="0.25">
      <c r="A206" s="15" t="s">
        <v>4</v>
      </c>
      <c r="B206" s="17" t="s">
        <v>182</v>
      </c>
      <c r="C206" t="s">
        <v>289</v>
      </c>
      <c r="D206" t="s">
        <v>99</v>
      </c>
      <c r="E206" t="s">
        <v>4</v>
      </c>
      <c r="F206">
        <v>0</v>
      </c>
      <c r="G206">
        <v>650</v>
      </c>
      <c r="H206">
        <v>1555</v>
      </c>
      <c r="I206" s="18">
        <f>=PARAM!$C$12</f>
        <v>3000</v>
      </c>
      <c r="J206">
        <v>-650</v>
      </c>
      <c r="K206">
        <v>1555</v>
      </c>
      <c r="L206">
        <v>130</v>
      </c>
      <c r="M206">
        <v>130</v>
      </c>
      <c r="N206" t="s">
        <v>4</v>
      </c>
    </row>
    <row r="207" spans="1:12" x14ac:dyDescent="0.25">
      <c r="A207" s="15" t="s">
        <v>4</v>
      </c>
      <c r="B207" s="16" t="s">
        <v>169</v>
      </c>
      <c r="C207" t="s">
        <v>57</v>
      </c>
      <c r="D207" t="s">
        <v>170</v>
      </c>
      <c r="E207" t="s">
        <v>171</v>
      </c>
      <c r="F207" t="s">
        <v>163</v>
      </c>
      <c r="G207" t="s">
        <v>164</v>
      </c>
      <c r="H207" t="s">
        <v>201</v>
      </c>
      <c r="I207" t="s">
        <v>202</v>
      </c>
      <c r="J207" t="s">
        <v>203</v>
      </c>
      <c r="K207" t="s">
        <v>204</v>
      </c>
      <c r="L207" t="s">
        <v>205</v>
      </c>
    </row>
    <row r="208" spans="1:6" x14ac:dyDescent="0.25">
      <c r="A208" s="15" t="s">
        <v>4</v>
      </c>
      <c r="B208" s="17" t="s">
        <v>182</v>
      </c>
      <c r="C208" t="s">
        <v>289</v>
      </c>
      <c r="D208" t="s">
        <v>206</v>
      </c>
      <c r="E208" t="s">
        <v>96</v>
      </c>
      <c r="F208" t="s">
        <v>81</v>
      </c>
    </row>
    <row r="210" spans="1:14" x14ac:dyDescent="0.25">
      <c r="A210" s="15" t="s">
        <v>4</v>
      </c>
      <c r="B210" s="16" t="s">
        <v>169</v>
      </c>
      <c r="C210" t="s">
        <v>57</v>
      </c>
      <c r="D210" t="s">
        <v>170</v>
      </c>
      <c r="E210" t="s">
        <v>171</v>
      </c>
      <c r="F210" t="s">
        <v>172</v>
      </c>
      <c r="G210" t="s">
        <v>173</v>
      </c>
      <c r="H210" t="s">
        <v>174</v>
      </c>
      <c r="I210" t="s">
        <v>175</v>
      </c>
      <c r="J210" t="s">
        <v>176</v>
      </c>
      <c r="K210" t="s">
        <v>177</v>
      </c>
      <c r="L210" t="s">
        <v>178</v>
      </c>
      <c r="M210" t="s">
        <v>179</v>
      </c>
      <c r="N210" t="s">
        <v>180</v>
      </c>
    </row>
    <row r="211" spans="1:14" x14ac:dyDescent="0.25">
      <c r="A211" s="15" t="s">
        <v>4</v>
      </c>
      <c r="B211" s="17" t="s">
        <v>182</v>
      </c>
      <c r="C211" t="s">
        <v>296</v>
      </c>
      <c r="D211" t="s">
        <v>290</v>
      </c>
      <c r="E211" t="s">
        <v>4</v>
      </c>
      <c r="F211">
        <v>0</v>
      </c>
      <c r="G211">
        <v>650</v>
      </c>
      <c r="H211">
        <v>1380</v>
      </c>
      <c r="I211" s="18">
        <f>=PARAM!$F$12</f>
        <v>1600</v>
      </c>
      <c r="J211">
        <v>160</v>
      </c>
      <c r="K211">
        <v>1380</v>
      </c>
      <c r="L211">
        <v>90</v>
      </c>
      <c r="M211">
        <v>40</v>
      </c>
      <c r="N211">
        <v>90</v>
      </c>
    </row>
    <row r="212" spans="1:14" x14ac:dyDescent="0.25">
      <c r="A212" s="15" t="s">
        <v>4</v>
      </c>
      <c r="B212" s="17" t="s">
        <v>182</v>
      </c>
      <c r="C212" t="s">
        <v>296</v>
      </c>
      <c r="D212" t="s">
        <v>291</v>
      </c>
      <c r="E212" t="s">
        <v>4</v>
      </c>
      <c r="F212">
        <v>0</v>
      </c>
      <c r="G212">
        <v>-650</v>
      </c>
      <c r="H212">
        <v>1380</v>
      </c>
      <c r="I212" s="18">
        <f>=PARAM!$F$12</f>
        <v>1600</v>
      </c>
      <c r="J212">
        <v>-160</v>
      </c>
      <c r="K212">
        <v>1380</v>
      </c>
      <c r="L212">
        <v>90</v>
      </c>
      <c r="M212">
        <v>40</v>
      </c>
      <c r="N212" t="s">
        <v>4</v>
      </c>
    </row>
    <row r="213" spans="1:14" x14ac:dyDescent="0.25">
      <c r="A213" s="15" t="s">
        <v>4</v>
      </c>
      <c r="B213" s="17" t="s">
        <v>182</v>
      </c>
      <c r="C213" t="s">
        <v>296</v>
      </c>
      <c r="D213" t="s">
        <v>96</v>
      </c>
      <c r="E213" t="s">
        <v>4</v>
      </c>
      <c r="F213">
        <v>0</v>
      </c>
      <c r="G213">
        <v>0</v>
      </c>
      <c r="H213">
        <v>0</v>
      </c>
      <c r="I213" s="18">
        <f>=PARAM!$F$12</f>
        <v>1600</v>
      </c>
      <c r="J213">
        <v>0</v>
      </c>
      <c r="K213">
        <v>1310</v>
      </c>
      <c r="L213" t="s">
        <v>4</v>
      </c>
      <c r="M213">
        <v>150</v>
      </c>
      <c r="N213" t="s">
        <v>4</v>
      </c>
    </row>
    <row r="214" spans="1:14" x14ac:dyDescent="0.25">
      <c r="A214" s="15" t="s">
        <v>4</v>
      </c>
      <c r="B214" s="17" t="s">
        <v>182</v>
      </c>
      <c r="C214" t="s">
        <v>296</v>
      </c>
      <c r="D214" t="s">
        <v>292</v>
      </c>
      <c r="E214" t="s">
        <v>4</v>
      </c>
      <c r="F214">
        <v>0</v>
      </c>
      <c r="G214">
        <v>650</v>
      </c>
      <c r="H214">
        <v>1380</v>
      </c>
      <c r="I214" s="18">
        <f>=PARAM!$F$12*0.55</f>
        <v>880.0000000000001</v>
      </c>
      <c r="J214">
        <v>0</v>
      </c>
      <c r="K214">
        <v>720.5</v>
      </c>
      <c r="L214">
        <v>90</v>
      </c>
      <c r="M214">
        <v>190</v>
      </c>
      <c r="N214" t="s">
        <v>4</v>
      </c>
    </row>
    <row r="215" spans="1:14" x14ac:dyDescent="0.25">
      <c r="A215" s="15" t="s">
        <v>4</v>
      </c>
      <c r="B215" s="17" t="s">
        <v>182</v>
      </c>
      <c r="C215" t="s">
        <v>296</v>
      </c>
      <c r="D215" t="s">
        <v>293</v>
      </c>
      <c r="E215" t="s">
        <v>4</v>
      </c>
      <c r="F215">
        <v>0</v>
      </c>
      <c r="G215">
        <v>-650</v>
      </c>
      <c r="H215">
        <v>1380</v>
      </c>
      <c r="I215" s="18">
        <f>=PARAM!$F$12*0.55</f>
        <v>880.0000000000001</v>
      </c>
      <c r="J215">
        <v>0</v>
      </c>
      <c r="K215">
        <v>720.5</v>
      </c>
      <c r="L215">
        <v>90</v>
      </c>
      <c r="M215">
        <v>190</v>
      </c>
      <c r="N215" t="s">
        <v>4</v>
      </c>
    </row>
    <row r="216" spans="1:12" x14ac:dyDescent="0.25">
      <c r="A216" s="15" t="s">
        <v>4</v>
      </c>
      <c r="B216" s="16" t="s">
        <v>169</v>
      </c>
      <c r="C216" t="s">
        <v>57</v>
      </c>
      <c r="D216" t="s">
        <v>170</v>
      </c>
      <c r="E216" t="s">
        <v>171</v>
      </c>
      <c r="F216" t="s">
        <v>163</v>
      </c>
      <c r="G216" t="s">
        <v>164</v>
      </c>
      <c r="H216" t="s">
        <v>201</v>
      </c>
      <c r="I216" t="s">
        <v>202</v>
      </c>
      <c r="J216" t="s">
        <v>203</v>
      </c>
      <c r="K216" t="s">
        <v>204</v>
      </c>
      <c r="L216" t="s">
        <v>205</v>
      </c>
    </row>
    <row r="217" spans="1:6" x14ac:dyDescent="0.25">
      <c r="A217" s="15" t="s">
        <v>4</v>
      </c>
      <c r="B217" s="17" t="s">
        <v>182</v>
      </c>
      <c r="C217" t="s">
        <v>296</v>
      </c>
      <c r="D217" t="s">
        <v>206</v>
      </c>
      <c r="E217" t="s">
        <v>96</v>
      </c>
      <c r="F217" t="s">
        <v>81</v>
      </c>
    </row>
    <row r="219" spans="1:14" x14ac:dyDescent="0.25">
      <c r="A219" s="15" t="s">
        <v>4</v>
      </c>
      <c r="B219" s="16" t="s">
        <v>169</v>
      </c>
      <c r="C219" t="s">
        <v>57</v>
      </c>
      <c r="D219" t="s">
        <v>170</v>
      </c>
      <c r="E219" t="s">
        <v>171</v>
      </c>
      <c r="F219" t="s">
        <v>172</v>
      </c>
      <c r="G219" t="s">
        <v>173</v>
      </c>
      <c r="H219" t="s">
        <v>174</v>
      </c>
      <c r="I219" t="s">
        <v>175</v>
      </c>
      <c r="J219" t="s">
        <v>176</v>
      </c>
      <c r="K219" t="s">
        <v>177</v>
      </c>
      <c r="L219" t="s">
        <v>178</v>
      </c>
      <c r="M219" t="s">
        <v>179</v>
      </c>
      <c r="N219" t="s">
        <v>180</v>
      </c>
    </row>
    <row r="220" spans="1:14" x14ac:dyDescent="0.25">
      <c r="A220" s="15" t="s">
        <v>4</v>
      </c>
      <c r="B220" s="17" t="s">
        <v>182</v>
      </c>
      <c r="C220" t="s">
        <v>297</v>
      </c>
      <c r="D220" t="s">
        <v>298</v>
      </c>
      <c r="E220" t="s">
        <v>4</v>
      </c>
      <c r="F220">
        <v>0</v>
      </c>
      <c r="G220">
        <v>650</v>
      </c>
      <c r="H220">
        <v>1090</v>
      </c>
      <c r="I220" s="18">
        <f>=PARAM!$C$13</f>
        <v>2600</v>
      </c>
      <c r="J220">
        <v>650</v>
      </c>
      <c r="K220">
        <v>1090</v>
      </c>
      <c r="L220" t="s">
        <v>4</v>
      </c>
      <c r="M220" t="s">
        <v>4</v>
      </c>
      <c r="N220">
        <v>90</v>
      </c>
    </row>
    <row r="221" spans="1:14" x14ac:dyDescent="0.25">
      <c r="A221" s="15" t="s">
        <v>4</v>
      </c>
      <c r="B221" s="17" t="s">
        <v>182</v>
      </c>
      <c r="C221" t="s">
        <v>297</v>
      </c>
      <c r="D221" t="s">
        <v>299</v>
      </c>
      <c r="E221" t="s">
        <v>4</v>
      </c>
      <c r="F221">
        <v>0</v>
      </c>
      <c r="G221">
        <v>-650</v>
      </c>
      <c r="H221">
        <v>1090</v>
      </c>
      <c r="I221" s="18">
        <f>=PARAM!$C$13</f>
        <v>2600</v>
      </c>
      <c r="J221">
        <v>-650</v>
      </c>
      <c r="K221">
        <v>1090</v>
      </c>
      <c r="L221" t="s">
        <v>4</v>
      </c>
      <c r="M221" t="s">
        <v>4</v>
      </c>
      <c r="N221" t="s">
        <v>4</v>
      </c>
    </row>
    <row r="222" spans="1:14" x14ac:dyDescent="0.25">
      <c r="A222" s="15" t="s">
        <v>4</v>
      </c>
      <c r="B222" s="17" t="s">
        <v>182</v>
      </c>
      <c r="C222" t="s">
        <v>297</v>
      </c>
      <c r="D222" t="s">
        <v>100</v>
      </c>
      <c r="E222" t="s">
        <v>4</v>
      </c>
      <c r="F222">
        <v>0</v>
      </c>
      <c r="G222">
        <v>0</v>
      </c>
      <c r="H222">
        <v>0</v>
      </c>
      <c r="I222" s="18">
        <f>=PARAM!$C$13</f>
        <v>2600</v>
      </c>
      <c r="J222">
        <v>0</v>
      </c>
      <c r="K222">
        <v>0</v>
      </c>
      <c r="L222" t="s">
        <v>4</v>
      </c>
      <c r="M222" t="s">
        <v>4</v>
      </c>
      <c r="N222" t="s">
        <v>4</v>
      </c>
    </row>
    <row r="223" spans="1:14" x14ac:dyDescent="0.25">
      <c r="A223" s="15" t="s">
        <v>4</v>
      </c>
      <c r="B223" s="17" t="s">
        <v>182</v>
      </c>
      <c r="C223" t="s">
        <v>297</v>
      </c>
      <c r="D223" t="s">
        <v>101</v>
      </c>
      <c r="E223" t="s">
        <v>4</v>
      </c>
      <c r="F223" s="18">
        <f>=PARAM!$C$13</f>
        <v>2600</v>
      </c>
      <c r="G223">
        <v>-650</v>
      </c>
      <c r="H223">
        <v>1250</v>
      </c>
      <c r="I223" s="18">
        <f>=PARAM!$C$13</f>
        <v>2600</v>
      </c>
      <c r="J223">
        <v>650</v>
      </c>
      <c r="K223">
        <v>1250</v>
      </c>
      <c r="L223" t="s">
        <v>4</v>
      </c>
      <c r="M223" t="s">
        <v>4</v>
      </c>
      <c r="N223" t="s">
        <v>4</v>
      </c>
    </row>
    <row r="224" spans="1:14" x14ac:dyDescent="0.25">
      <c r="A224" s="15" t="s">
        <v>4</v>
      </c>
      <c r="B224" s="17" t="s">
        <v>182</v>
      </c>
      <c r="C224" t="s">
        <v>297</v>
      </c>
      <c r="D224" t="s">
        <v>300</v>
      </c>
      <c r="E224" t="s">
        <v>4</v>
      </c>
      <c r="F224">
        <v>0</v>
      </c>
      <c r="G224">
        <v>650</v>
      </c>
      <c r="H224">
        <v>1090</v>
      </c>
      <c r="I224" s="18">
        <f>=PARAM!$C$13</f>
        <v>2600</v>
      </c>
      <c r="J224">
        <v>0</v>
      </c>
      <c r="K224">
        <v>0</v>
      </c>
      <c r="L224">
        <v>90</v>
      </c>
      <c r="M224">
        <v>280</v>
      </c>
      <c r="N224" t="s">
        <v>4</v>
      </c>
    </row>
    <row r="225" spans="1:14" x14ac:dyDescent="0.25">
      <c r="A225" s="15" t="s">
        <v>4</v>
      </c>
      <c r="B225" s="17" t="s">
        <v>182</v>
      </c>
      <c r="C225" t="s">
        <v>297</v>
      </c>
      <c r="D225" t="s">
        <v>301</v>
      </c>
      <c r="E225" t="s">
        <v>4</v>
      </c>
      <c r="F225">
        <v>0</v>
      </c>
      <c r="G225">
        <v>-650</v>
      </c>
      <c r="H225">
        <v>1090</v>
      </c>
      <c r="I225" s="18">
        <f>=PARAM!$C$13</f>
        <v>2600</v>
      </c>
      <c r="J225">
        <v>0</v>
      </c>
      <c r="K225">
        <v>0</v>
      </c>
      <c r="L225">
        <v>90</v>
      </c>
      <c r="M225">
        <v>280</v>
      </c>
      <c r="N225" t="s">
        <v>4</v>
      </c>
    </row>
    <row r="226" spans="1:14" x14ac:dyDescent="0.25">
      <c r="A226" s="15" t="s">
        <v>4</v>
      </c>
      <c r="B226" s="17" t="s">
        <v>182</v>
      </c>
      <c r="C226" t="s">
        <v>297</v>
      </c>
      <c r="D226" t="s">
        <v>302</v>
      </c>
      <c r="E226" t="s">
        <v>4</v>
      </c>
      <c r="F226" s="18">
        <f>=PARAM!$C$13</f>
        <v>2600</v>
      </c>
      <c r="G226">
        <v>650</v>
      </c>
      <c r="H226">
        <v>1090</v>
      </c>
      <c r="I226" s="18">
        <f>=PARAM!$C$13</f>
        <v>2600</v>
      </c>
      <c r="J226">
        <v>0</v>
      </c>
      <c r="K226">
        <v>0</v>
      </c>
      <c r="L226">
        <v>60</v>
      </c>
      <c r="M226">
        <v>110</v>
      </c>
      <c r="N226" t="s">
        <v>4</v>
      </c>
    </row>
    <row r="227" spans="1:14" x14ac:dyDescent="0.25">
      <c r="A227" s="15" t="s">
        <v>4</v>
      </c>
      <c r="B227" s="17" t="s">
        <v>182</v>
      </c>
      <c r="C227" t="s">
        <v>297</v>
      </c>
      <c r="D227" t="s">
        <v>303</v>
      </c>
      <c r="E227" t="s">
        <v>4</v>
      </c>
      <c r="F227" s="18">
        <f>=PARAM!$C$13</f>
        <v>2600</v>
      </c>
      <c r="G227">
        <v>-650</v>
      </c>
      <c r="H227">
        <v>1090</v>
      </c>
      <c r="I227" s="18">
        <f>=PARAM!$C$13</f>
        <v>2600</v>
      </c>
      <c r="J227">
        <v>0</v>
      </c>
      <c r="K227">
        <v>0</v>
      </c>
      <c r="L227">
        <v>60</v>
      </c>
      <c r="M227">
        <v>110</v>
      </c>
      <c r="N227" t="s">
        <v>4</v>
      </c>
    </row>
    <row r="228" spans="1:12" x14ac:dyDescent="0.25">
      <c r="A228" s="15" t="s">
        <v>4</v>
      </c>
      <c r="B228" s="16" t="s">
        <v>169</v>
      </c>
      <c r="C228" t="s">
        <v>57</v>
      </c>
      <c r="D228" t="s">
        <v>170</v>
      </c>
      <c r="E228" t="s">
        <v>171</v>
      </c>
      <c r="F228" t="s">
        <v>163</v>
      </c>
      <c r="G228" t="s">
        <v>164</v>
      </c>
      <c r="H228" t="s">
        <v>201</v>
      </c>
      <c r="I228" t="s">
        <v>202</v>
      </c>
      <c r="J228" t="s">
        <v>203</v>
      </c>
      <c r="K228" t="s">
        <v>204</v>
      </c>
      <c r="L228" t="s">
        <v>205</v>
      </c>
    </row>
    <row r="229" spans="1:6" x14ac:dyDescent="0.25">
      <c r="A229" s="15" t="s">
        <v>4</v>
      </c>
      <c r="B229" s="17" t="s">
        <v>182</v>
      </c>
      <c r="C229" t="s">
        <v>297</v>
      </c>
      <c r="D229" t="s">
        <v>206</v>
      </c>
      <c r="E229" t="s">
        <v>100</v>
      </c>
      <c r="F229" t="s">
        <v>81</v>
      </c>
    </row>
    <row r="231" spans="1:12" x14ac:dyDescent="0.25">
      <c r="A231" s="15" t="s">
        <v>4</v>
      </c>
      <c r="B231" s="16" t="s">
        <v>169</v>
      </c>
      <c r="C231" t="s">
        <v>57</v>
      </c>
      <c r="D231" t="s">
        <v>170</v>
      </c>
      <c r="E231" t="s">
        <v>171</v>
      </c>
      <c r="F231" t="s">
        <v>163</v>
      </c>
      <c r="G231" t="s">
        <v>164</v>
      </c>
      <c r="H231" t="s">
        <v>201</v>
      </c>
      <c r="I231" t="s">
        <v>202</v>
      </c>
      <c r="J231" t="s">
        <v>203</v>
      </c>
      <c r="K231" t="s">
        <v>204</v>
      </c>
      <c r="L231" t="s">
        <v>205</v>
      </c>
    </row>
    <row r="232" spans="1:12" x14ac:dyDescent="0.25">
      <c r="A232" s="15" t="s">
        <v>4</v>
      </c>
      <c r="B232" s="17" t="s">
        <v>182</v>
      </c>
      <c r="C232" t="s">
        <v>304</v>
      </c>
      <c r="D232" t="s">
        <v>140</v>
      </c>
      <c r="E232" t="s">
        <v>208</v>
      </c>
      <c r="F232">
        <v>0</v>
      </c>
      <c r="G232">
        <v>0</v>
      </c>
      <c r="H232">
        <v>0</v>
      </c>
      <c r="I232" t="s">
        <v>209</v>
      </c>
      <c r="J232" t="s">
        <v>4</v>
      </c>
      <c r="K232" t="s">
        <v>4</v>
      </c>
      <c r="L232" t="s">
        <v>4</v>
      </c>
    </row>
    <row r="233" spans="1:14" x14ac:dyDescent="0.25">
      <c r="A233" s="15" t="s">
        <v>4</v>
      </c>
      <c r="B233" s="16" t="s">
        <v>169</v>
      </c>
      <c r="C233" t="s">
        <v>57</v>
      </c>
      <c r="D233" t="s">
        <v>170</v>
      </c>
      <c r="E233" t="s">
        <v>171</v>
      </c>
      <c r="F233" t="s">
        <v>172</v>
      </c>
      <c r="G233" t="s">
        <v>173</v>
      </c>
      <c r="H233" t="s">
        <v>174</v>
      </c>
      <c r="I233" t="s">
        <v>175</v>
      </c>
      <c r="J233" t="s">
        <v>176</v>
      </c>
      <c r="K233" t="s">
        <v>177</v>
      </c>
      <c r="L233" t="s">
        <v>178</v>
      </c>
      <c r="M233" t="s">
        <v>179</v>
      </c>
      <c r="N233" t="s">
        <v>180</v>
      </c>
    </row>
    <row r="234" spans="1:14" x14ac:dyDescent="0.25">
      <c r="A234" s="15" t="s">
        <v>4</v>
      </c>
      <c r="B234" s="17" t="s">
        <v>182</v>
      </c>
      <c r="C234" t="s">
        <v>304</v>
      </c>
      <c r="D234" t="s">
        <v>114</v>
      </c>
      <c r="E234" t="s">
        <v>4</v>
      </c>
      <c r="F234">
        <v>-1370</v>
      </c>
      <c r="G234">
        <v>0</v>
      </c>
      <c r="H234">
        <v>620</v>
      </c>
      <c r="I234">
        <v>-130</v>
      </c>
      <c r="J234">
        <v>0</v>
      </c>
      <c r="K234">
        <v>620</v>
      </c>
      <c r="L234" t="s">
        <v>4</v>
      </c>
      <c r="M234" t="s">
        <v>4</v>
      </c>
      <c r="N234" t="s">
        <v>4</v>
      </c>
    </row>
    <row r="235" spans="1:12" x14ac:dyDescent="0.25">
      <c r="A235" s="15" t="s">
        <v>4</v>
      </c>
      <c r="B235" s="16" t="s">
        <v>169</v>
      </c>
      <c r="C235" t="s">
        <v>57</v>
      </c>
      <c r="D235" t="s">
        <v>170</v>
      </c>
      <c r="E235" t="s">
        <v>171</v>
      </c>
      <c r="F235" t="s">
        <v>163</v>
      </c>
      <c r="G235" t="s">
        <v>164</v>
      </c>
      <c r="H235" t="s">
        <v>201</v>
      </c>
      <c r="I235" t="s">
        <v>202</v>
      </c>
      <c r="J235" t="s">
        <v>203</v>
      </c>
      <c r="K235" t="s">
        <v>204</v>
      </c>
      <c r="L235" t="s">
        <v>205</v>
      </c>
    </row>
    <row r="236" spans="1:12" x14ac:dyDescent="0.25">
      <c r="A236" s="15" t="s">
        <v>4</v>
      </c>
      <c r="B236" s="17" t="s">
        <v>182</v>
      </c>
      <c r="C236" t="s">
        <v>304</v>
      </c>
      <c r="D236" t="s">
        <v>305</v>
      </c>
      <c r="E236" t="s">
        <v>81</v>
      </c>
      <c r="F236">
        <v>-1400</v>
      </c>
      <c r="G236">
        <v>0</v>
      </c>
      <c r="H236">
        <v>620</v>
      </c>
      <c r="I236" t="s">
        <v>306</v>
      </c>
      <c r="J236" t="s">
        <v>4</v>
      </c>
      <c r="K236" t="s">
        <v>4</v>
      </c>
      <c r="L236" t="s">
        <v>4</v>
      </c>
    </row>
    <row r="237" spans="1:12" x14ac:dyDescent="0.25">
      <c r="A237" s="15" t="s">
        <v>4</v>
      </c>
      <c r="B237" s="17" t="s">
        <v>182</v>
      </c>
      <c r="C237" t="s">
        <v>304</v>
      </c>
      <c r="D237" t="s">
        <v>307</v>
      </c>
      <c r="E237" t="s">
        <v>81</v>
      </c>
      <c r="F237">
        <v>-100</v>
      </c>
      <c r="G237">
        <v>0</v>
      </c>
      <c r="H237">
        <v>620</v>
      </c>
      <c r="I237" t="s">
        <v>306</v>
      </c>
      <c r="J237" t="s">
        <v>4</v>
      </c>
      <c r="K237" t="s">
        <v>4</v>
      </c>
      <c r="L237" t="s">
        <v>4</v>
      </c>
    </row>
    <row r="238" spans="1:12" x14ac:dyDescent="0.25">
      <c r="A238" s="15" t="s">
        <v>4</v>
      </c>
      <c r="B238" s="17" t="s">
        <v>182</v>
      </c>
      <c r="C238" t="s">
        <v>304</v>
      </c>
      <c r="D238" t="s">
        <v>142</v>
      </c>
      <c r="E238" t="s">
        <v>81</v>
      </c>
      <c r="F238">
        <v>900</v>
      </c>
      <c r="G238">
        <v>0</v>
      </c>
      <c r="H238">
        <v>360</v>
      </c>
      <c r="I238" t="s">
        <v>306</v>
      </c>
      <c r="J238" t="s">
        <v>4</v>
      </c>
      <c r="K238" t="s">
        <v>4</v>
      </c>
      <c r="L238" t="s">
        <v>4</v>
      </c>
    </row>
    <row r="239" spans="1:14" x14ac:dyDescent="0.25">
      <c r="A239" s="15" t="s">
        <v>4</v>
      </c>
      <c r="B239" s="16" t="s">
        <v>169</v>
      </c>
      <c r="C239" t="s">
        <v>57</v>
      </c>
      <c r="D239" t="s">
        <v>170</v>
      </c>
      <c r="E239" t="s">
        <v>171</v>
      </c>
      <c r="F239" t="s">
        <v>172</v>
      </c>
      <c r="G239" t="s">
        <v>173</v>
      </c>
      <c r="H239" t="s">
        <v>174</v>
      </c>
      <c r="I239" t="s">
        <v>175</v>
      </c>
      <c r="J239" t="s">
        <v>176</v>
      </c>
      <c r="K239" t="s">
        <v>177</v>
      </c>
      <c r="L239" t="s">
        <v>178</v>
      </c>
      <c r="M239" t="s">
        <v>179</v>
      </c>
      <c r="N239" t="s">
        <v>180</v>
      </c>
    </row>
    <row r="240" spans="1:14" x14ac:dyDescent="0.25">
      <c r="A240" s="15" t="s">
        <v>4</v>
      </c>
      <c r="B240" s="17" t="s">
        <v>182</v>
      </c>
      <c r="C240" t="s">
        <v>304</v>
      </c>
      <c r="D240" t="s">
        <v>308</v>
      </c>
      <c r="E240" t="s">
        <v>4</v>
      </c>
      <c r="F240">
        <v>-2400</v>
      </c>
      <c r="G240">
        <v>-950</v>
      </c>
      <c r="H240">
        <v>0</v>
      </c>
      <c r="I240">
        <v>-2400</v>
      </c>
      <c r="J240">
        <v>-950</v>
      </c>
      <c r="K240">
        <v>1050</v>
      </c>
      <c r="L240" t="s">
        <v>4</v>
      </c>
      <c r="M240" t="s">
        <v>4</v>
      </c>
      <c r="N240" t="s">
        <v>4</v>
      </c>
    </row>
    <row r="241" spans="1:14" x14ac:dyDescent="0.25">
      <c r="A241" s="15" t="s">
        <v>4</v>
      </c>
      <c r="B241" s="17" t="s">
        <v>182</v>
      </c>
      <c r="C241" t="s">
        <v>304</v>
      </c>
      <c r="D241" t="s">
        <v>309</v>
      </c>
      <c r="E241" t="s">
        <v>4</v>
      </c>
      <c r="F241">
        <v>-900</v>
      </c>
      <c r="G241">
        <v>-950</v>
      </c>
      <c r="H241">
        <v>0</v>
      </c>
      <c r="I241">
        <v>-900</v>
      </c>
      <c r="J241">
        <v>-950</v>
      </c>
      <c r="K241">
        <v>1050</v>
      </c>
      <c r="L241" t="s">
        <v>4</v>
      </c>
      <c r="M241" t="s">
        <v>4</v>
      </c>
      <c r="N241" t="s">
        <v>4</v>
      </c>
    </row>
    <row r="242" spans="1:14" x14ac:dyDescent="0.25">
      <c r="A242" s="15" t="s">
        <v>4</v>
      </c>
      <c r="B242" s="17" t="s">
        <v>182</v>
      </c>
      <c r="C242" t="s">
        <v>304</v>
      </c>
      <c r="D242" t="s">
        <v>310</v>
      </c>
      <c r="E242" t="s">
        <v>4</v>
      </c>
      <c r="F242">
        <v>700</v>
      </c>
      <c r="G242">
        <v>-950</v>
      </c>
      <c r="H242">
        <v>0</v>
      </c>
      <c r="I242">
        <v>700</v>
      </c>
      <c r="J242">
        <v>-950</v>
      </c>
      <c r="K242">
        <v>1050</v>
      </c>
      <c r="L242" t="s">
        <v>4</v>
      </c>
      <c r="M242" t="s">
        <v>4</v>
      </c>
      <c r="N242" t="s">
        <v>4</v>
      </c>
    </row>
    <row r="243" spans="1:14" x14ac:dyDescent="0.25">
      <c r="A243" s="15" t="s">
        <v>4</v>
      </c>
      <c r="B243" s="17" t="s">
        <v>182</v>
      </c>
      <c r="C243" t="s">
        <v>304</v>
      </c>
      <c r="D243" t="s">
        <v>311</v>
      </c>
      <c r="E243" t="s">
        <v>4</v>
      </c>
      <c r="F243">
        <v>2200</v>
      </c>
      <c r="G243">
        <v>-950</v>
      </c>
      <c r="H243">
        <v>0</v>
      </c>
      <c r="I243">
        <v>2200</v>
      </c>
      <c r="J243">
        <v>-950</v>
      </c>
      <c r="K243">
        <v>1050</v>
      </c>
      <c r="L243" t="s">
        <v>4</v>
      </c>
      <c r="M243" t="s">
        <v>4</v>
      </c>
      <c r="N243" t="s">
        <v>4</v>
      </c>
    </row>
    <row r="244" spans="1:14" x14ac:dyDescent="0.25">
      <c r="A244" s="15" t="s">
        <v>4</v>
      </c>
      <c r="B244" s="17" t="s">
        <v>182</v>
      </c>
      <c r="C244" t="s">
        <v>304</v>
      </c>
      <c r="D244" t="s">
        <v>312</v>
      </c>
      <c r="E244" t="s">
        <v>4</v>
      </c>
      <c r="F244">
        <v>-2400</v>
      </c>
      <c r="G244">
        <v>-995</v>
      </c>
      <c r="H244">
        <v>1020</v>
      </c>
      <c r="I244">
        <v>2200</v>
      </c>
      <c r="J244">
        <v>-995</v>
      </c>
      <c r="K244">
        <v>1020</v>
      </c>
      <c r="L244" t="s">
        <v>4</v>
      </c>
      <c r="M244" t="s">
        <v>4</v>
      </c>
      <c r="N244" t="s">
        <v>4</v>
      </c>
    </row>
    <row r="245" spans="1:14" x14ac:dyDescent="0.25">
      <c r="A245" s="15" t="s">
        <v>4</v>
      </c>
      <c r="B245" s="17" t="s">
        <v>182</v>
      </c>
      <c r="C245" t="s">
        <v>304</v>
      </c>
      <c r="D245" t="s">
        <v>313</v>
      </c>
      <c r="E245" t="s">
        <v>4</v>
      </c>
      <c r="F245">
        <v>-2400</v>
      </c>
      <c r="G245">
        <v>-995</v>
      </c>
      <c r="H245">
        <v>560</v>
      </c>
      <c r="I245">
        <v>2200</v>
      </c>
      <c r="J245">
        <v>-995</v>
      </c>
      <c r="K245">
        <v>560</v>
      </c>
      <c r="L245" t="s">
        <v>4</v>
      </c>
      <c r="M245" t="s">
        <v>4</v>
      </c>
      <c r="N245" t="s">
        <v>4</v>
      </c>
    </row>
    <row r="246" spans="1:14" x14ac:dyDescent="0.25">
      <c r="A246" s="15" t="s">
        <v>4</v>
      </c>
      <c r="B246" s="17" t="s">
        <v>182</v>
      </c>
      <c r="C246" t="s">
        <v>304</v>
      </c>
      <c r="D246" t="s">
        <v>314</v>
      </c>
      <c r="E246" t="s">
        <v>4</v>
      </c>
      <c r="F246">
        <v>-2400</v>
      </c>
      <c r="G246">
        <v>950</v>
      </c>
      <c r="H246">
        <v>0</v>
      </c>
      <c r="I246">
        <v>-2400</v>
      </c>
      <c r="J246">
        <v>950</v>
      </c>
      <c r="K246">
        <v>1050</v>
      </c>
      <c r="L246" t="s">
        <v>4</v>
      </c>
      <c r="M246" t="s">
        <v>4</v>
      </c>
      <c r="N246" t="s">
        <v>4</v>
      </c>
    </row>
    <row r="247" spans="1:14" x14ac:dyDescent="0.25">
      <c r="A247" s="15" t="s">
        <v>4</v>
      </c>
      <c r="B247" s="17" t="s">
        <v>182</v>
      </c>
      <c r="C247" t="s">
        <v>304</v>
      </c>
      <c r="D247" t="s">
        <v>315</v>
      </c>
      <c r="E247" t="s">
        <v>4</v>
      </c>
      <c r="F247">
        <v>-900</v>
      </c>
      <c r="G247">
        <v>950</v>
      </c>
      <c r="H247">
        <v>0</v>
      </c>
      <c r="I247">
        <v>-900</v>
      </c>
      <c r="J247">
        <v>950</v>
      </c>
      <c r="K247">
        <v>1050</v>
      </c>
      <c r="L247" t="s">
        <v>4</v>
      </c>
      <c r="M247" t="s">
        <v>4</v>
      </c>
      <c r="N247" t="s">
        <v>4</v>
      </c>
    </row>
    <row r="248" spans="1:14" x14ac:dyDescent="0.25">
      <c r="A248" s="15" t="s">
        <v>4</v>
      </c>
      <c r="B248" s="17" t="s">
        <v>182</v>
      </c>
      <c r="C248" t="s">
        <v>304</v>
      </c>
      <c r="D248" t="s">
        <v>316</v>
      </c>
      <c r="E248" t="s">
        <v>4</v>
      </c>
      <c r="F248">
        <v>700</v>
      </c>
      <c r="G248">
        <v>950</v>
      </c>
      <c r="H248">
        <v>0</v>
      </c>
      <c r="I248">
        <v>700</v>
      </c>
      <c r="J248">
        <v>950</v>
      </c>
      <c r="K248">
        <v>1050</v>
      </c>
      <c r="L248" t="s">
        <v>4</v>
      </c>
      <c r="M248" t="s">
        <v>4</v>
      </c>
      <c r="N248" t="s">
        <v>4</v>
      </c>
    </row>
    <row r="249" spans="1:14" x14ac:dyDescent="0.25">
      <c r="A249" s="15" t="s">
        <v>4</v>
      </c>
      <c r="B249" s="17" t="s">
        <v>182</v>
      </c>
      <c r="C249" t="s">
        <v>304</v>
      </c>
      <c r="D249" t="s">
        <v>317</v>
      </c>
      <c r="E249" t="s">
        <v>4</v>
      </c>
      <c r="F249">
        <v>2200</v>
      </c>
      <c r="G249">
        <v>950</v>
      </c>
      <c r="H249">
        <v>0</v>
      </c>
      <c r="I249">
        <v>2200</v>
      </c>
      <c r="J249">
        <v>950</v>
      </c>
      <c r="K249">
        <v>1050</v>
      </c>
      <c r="L249" t="s">
        <v>4</v>
      </c>
      <c r="M249" t="s">
        <v>4</v>
      </c>
      <c r="N249" t="s">
        <v>4</v>
      </c>
    </row>
    <row r="250" spans="1:14" x14ac:dyDescent="0.25">
      <c r="A250" s="15" t="s">
        <v>4</v>
      </c>
      <c r="B250" s="17" t="s">
        <v>182</v>
      </c>
      <c r="C250" t="s">
        <v>304</v>
      </c>
      <c r="D250" t="s">
        <v>318</v>
      </c>
      <c r="E250" t="s">
        <v>4</v>
      </c>
      <c r="F250">
        <v>-2400</v>
      </c>
      <c r="G250">
        <v>995</v>
      </c>
      <c r="H250">
        <v>1020</v>
      </c>
      <c r="I250">
        <v>2200</v>
      </c>
      <c r="J250">
        <v>995</v>
      </c>
      <c r="K250">
        <v>1020</v>
      </c>
      <c r="L250" t="s">
        <v>4</v>
      </c>
      <c r="M250" t="s">
        <v>4</v>
      </c>
      <c r="N250" t="s">
        <v>4</v>
      </c>
    </row>
    <row r="251" spans="1:14" x14ac:dyDescent="0.25">
      <c r="A251" s="15" t="s">
        <v>4</v>
      </c>
      <c r="B251" s="17" t="s">
        <v>182</v>
      </c>
      <c r="C251" t="s">
        <v>304</v>
      </c>
      <c r="D251" t="s">
        <v>319</v>
      </c>
      <c r="E251" t="s">
        <v>4</v>
      </c>
      <c r="F251">
        <v>-2400</v>
      </c>
      <c r="G251">
        <v>995</v>
      </c>
      <c r="H251">
        <v>560</v>
      </c>
      <c r="I251">
        <v>2200</v>
      </c>
      <c r="J251">
        <v>995</v>
      </c>
      <c r="K251">
        <v>560</v>
      </c>
      <c r="L251" t="s">
        <v>4</v>
      </c>
      <c r="M251" t="s">
        <v>4</v>
      </c>
      <c r="N251" t="s">
        <v>4</v>
      </c>
    </row>
    <row r="252" spans="1:12" x14ac:dyDescent="0.25">
      <c r="A252" s="15" t="s">
        <v>4</v>
      </c>
      <c r="B252" s="16" t="s">
        <v>169</v>
      </c>
      <c r="C252" t="s">
        <v>57</v>
      </c>
      <c r="D252" t="s">
        <v>170</v>
      </c>
      <c r="E252" t="s">
        <v>171</v>
      </c>
      <c r="F252" t="s">
        <v>163</v>
      </c>
      <c r="G252" t="s">
        <v>164</v>
      </c>
      <c r="H252" t="s">
        <v>201</v>
      </c>
      <c r="I252" t="s">
        <v>202</v>
      </c>
      <c r="J252" t="s">
        <v>203</v>
      </c>
      <c r="K252" t="s">
        <v>204</v>
      </c>
      <c r="L252" t="s">
        <v>205</v>
      </c>
    </row>
    <row r="253" spans="1:6" x14ac:dyDescent="0.25">
      <c r="A253" s="15" t="s">
        <v>4</v>
      </c>
      <c r="B253" s="17" t="s">
        <v>182</v>
      </c>
      <c r="C253" t="s">
        <v>304</v>
      </c>
      <c r="D253" t="s">
        <v>206</v>
      </c>
      <c r="E253" t="s">
        <v>140</v>
      </c>
      <c r="F253" t="s">
        <v>208</v>
      </c>
    </row>
    <row r="255" spans="1:12" x14ac:dyDescent="0.25">
      <c r="A255" s="15" t="s">
        <v>4</v>
      </c>
      <c r="B255" s="16" t="s">
        <v>169</v>
      </c>
      <c r="C255" t="s">
        <v>57</v>
      </c>
      <c r="D255" t="s">
        <v>170</v>
      </c>
      <c r="E255" t="s">
        <v>171</v>
      </c>
      <c r="F255" t="s">
        <v>163</v>
      </c>
      <c r="G255" t="s">
        <v>164</v>
      </c>
      <c r="H255" t="s">
        <v>201</v>
      </c>
      <c r="I255" t="s">
        <v>202</v>
      </c>
      <c r="J255" t="s">
        <v>203</v>
      </c>
      <c r="K255" t="s">
        <v>204</v>
      </c>
      <c r="L255" t="s">
        <v>205</v>
      </c>
    </row>
    <row r="256" spans="1:12" x14ac:dyDescent="0.25">
      <c r="A256" s="15" t="s">
        <v>4</v>
      </c>
      <c r="B256" s="17" t="s">
        <v>182</v>
      </c>
      <c r="C256" t="s">
        <v>320</v>
      </c>
      <c r="D256" t="s">
        <v>321</v>
      </c>
      <c r="E256" t="s">
        <v>81</v>
      </c>
      <c r="F256">
        <v>0</v>
      </c>
      <c r="G256">
        <v>0</v>
      </c>
      <c r="H256">
        <v>0</v>
      </c>
      <c r="I256" t="s">
        <v>306</v>
      </c>
      <c r="J256" t="s">
        <v>4</v>
      </c>
      <c r="K256" t="s">
        <v>4</v>
      </c>
      <c r="L256" t="s">
        <v>4</v>
      </c>
    </row>
    <row r="257" spans="1:12" x14ac:dyDescent="0.25">
      <c r="A257" s="15" t="s">
        <v>4</v>
      </c>
      <c r="B257" s="17" t="s">
        <v>182</v>
      </c>
      <c r="C257" t="s">
        <v>320</v>
      </c>
      <c r="D257" t="s">
        <v>322</v>
      </c>
      <c r="E257" t="s">
        <v>81</v>
      </c>
      <c r="F257">
        <v>180</v>
      </c>
      <c r="G257">
        <v>0</v>
      </c>
      <c r="H257">
        <v>0</v>
      </c>
      <c r="I257" t="s">
        <v>306</v>
      </c>
      <c r="J257" t="s">
        <v>4</v>
      </c>
      <c r="K257" t="s">
        <v>4</v>
      </c>
      <c r="L257" t="s">
        <v>4</v>
      </c>
    </row>
    <row r="258" spans="1:12" x14ac:dyDescent="0.25">
      <c r="A258" s="15" t="s">
        <v>4</v>
      </c>
      <c r="B258" s="17" t="s">
        <v>182</v>
      </c>
      <c r="C258" t="s">
        <v>320</v>
      </c>
      <c r="D258" t="s">
        <v>323</v>
      </c>
      <c r="E258" t="s">
        <v>81</v>
      </c>
      <c r="F258">
        <v>360</v>
      </c>
      <c r="G258">
        <v>0</v>
      </c>
      <c r="H258">
        <v>0</v>
      </c>
      <c r="I258" t="s">
        <v>306</v>
      </c>
      <c r="J258" t="s">
        <v>4</v>
      </c>
      <c r="K258" t="s">
        <v>4</v>
      </c>
      <c r="L258" t="s">
        <v>4</v>
      </c>
    </row>
    <row r="259" spans="1:12" x14ac:dyDescent="0.25">
      <c r="A259" s="15" t="s">
        <v>4</v>
      </c>
      <c r="B259" s="17" t="s">
        <v>182</v>
      </c>
      <c r="C259" t="s">
        <v>320</v>
      </c>
      <c r="D259" t="s">
        <v>324</v>
      </c>
      <c r="E259" t="s">
        <v>81</v>
      </c>
      <c r="F259">
        <v>540</v>
      </c>
      <c r="G259">
        <v>0</v>
      </c>
      <c r="H259">
        <v>0</v>
      </c>
      <c r="I259" t="s">
        <v>306</v>
      </c>
      <c r="J259" t="s">
        <v>4</v>
      </c>
      <c r="K259" t="s">
        <v>4</v>
      </c>
      <c r="L259" t="s">
        <v>4</v>
      </c>
    </row>
    <row r="260" spans="1:12" x14ac:dyDescent="0.25">
      <c r="A260" s="15" t="s">
        <v>4</v>
      </c>
      <c r="B260" s="17" t="s">
        <v>182</v>
      </c>
      <c r="C260" t="s">
        <v>320</v>
      </c>
      <c r="D260" t="s">
        <v>325</v>
      </c>
      <c r="E260" t="s">
        <v>81</v>
      </c>
      <c r="F260">
        <v>720</v>
      </c>
      <c r="G260">
        <v>0</v>
      </c>
      <c r="H260">
        <v>0</v>
      </c>
      <c r="I260" t="s">
        <v>306</v>
      </c>
      <c r="J260" t="s">
        <v>4</v>
      </c>
      <c r="K260" t="s">
        <v>4</v>
      </c>
      <c r="L260" t="s">
        <v>4</v>
      </c>
    </row>
    <row r="261" spans="1:12" x14ac:dyDescent="0.25">
      <c r="A261" s="15" t="s">
        <v>4</v>
      </c>
      <c r="B261" s="17" t="s">
        <v>182</v>
      </c>
      <c r="C261" t="s">
        <v>320</v>
      </c>
      <c r="D261" t="s">
        <v>326</v>
      </c>
      <c r="E261" t="s">
        <v>81</v>
      </c>
      <c r="F261">
        <v>360</v>
      </c>
      <c r="G261">
        <v>-790</v>
      </c>
      <c r="H261">
        <v>1240</v>
      </c>
      <c r="I261" t="s">
        <v>280</v>
      </c>
      <c r="J261" t="s">
        <v>4</v>
      </c>
      <c r="K261" t="s">
        <v>4</v>
      </c>
      <c r="L261" t="s">
        <v>4</v>
      </c>
    </row>
    <row r="262" spans="1:12" x14ac:dyDescent="0.25">
      <c r="A262" s="15" t="s">
        <v>4</v>
      </c>
      <c r="B262" s="17" t="s">
        <v>182</v>
      </c>
      <c r="C262" t="s">
        <v>320</v>
      </c>
      <c r="D262" t="s">
        <v>327</v>
      </c>
      <c r="E262" t="s">
        <v>81</v>
      </c>
      <c r="F262">
        <v>360</v>
      </c>
      <c r="G262">
        <v>790</v>
      </c>
      <c r="H262">
        <v>1240</v>
      </c>
      <c r="I262" t="s">
        <v>280</v>
      </c>
      <c r="J262" t="s">
        <v>4</v>
      </c>
      <c r="K262" t="s">
        <v>4</v>
      </c>
      <c r="L262" t="s">
        <v>4</v>
      </c>
    </row>
    <row r="263" spans="1:14" x14ac:dyDescent="0.25">
      <c r="A263" s="15" t="s">
        <v>4</v>
      </c>
      <c r="B263" s="16" t="s">
        <v>169</v>
      </c>
      <c r="C263" t="s">
        <v>57</v>
      </c>
      <c r="D263" t="s">
        <v>170</v>
      </c>
      <c r="E263" t="s">
        <v>171</v>
      </c>
      <c r="F263" t="s">
        <v>172</v>
      </c>
      <c r="G263" t="s">
        <v>173</v>
      </c>
      <c r="H263" t="s">
        <v>174</v>
      </c>
      <c r="I263" t="s">
        <v>175</v>
      </c>
      <c r="J263" t="s">
        <v>176</v>
      </c>
      <c r="K263" t="s">
        <v>177</v>
      </c>
      <c r="L263" t="s">
        <v>178</v>
      </c>
      <c r="M263" t="s">
        <v>179</v>
      </c>
      <c r="N263" t="s">
        <v>180</v>
      </c>
    </row>
    <row r="264" spans="1:14" x14ac:dyDescent="0.25">
      <c r="A264" s="15" t="s">
        <v>4</v>
      </c>
      <c r="B264" s="17" t="s">
        <v>182</v>
      </c>
      <c r="C264" t="s">
        <v>320</v>
      </c>
      <c r="D264" t="s">
        <v>328</v>
      </c>
      <c r="E264" t="s">
        <v>4</v>
      </c>
      <c r="F264">
        <v>-40</v>
      </c>
      <c r="G264">
        <v>-880</v>
      </c>
      <c r="H264">
        <v>790</v>
      </c>
      <c r="I264">
        <v>-40</v>
      </c>
      <c r="J264">
        <v>-880</v>
      </c>
      <c r="K264">
        <v>1600</v>
      </c>
      <c r="L264" t="s">
        <v>4</v>
      </c>
      <c r="M264" t="s">
        <v>4</v>
      </c>
      <c r="N264" t="s">
        <v>4</v>
      </c>
    </row>
    <row r="265" spans="1:14" x14ac:dyDescent="0.25">
      <c r="A265" s="15" t="s">
        <v>4</v>
      </c>
      <c r="B265" s="17" t="s">
        <v>182</v>
      </c>
      <c r="C265" t="s">
        <v>320</v>
      </c>
      <c r="D265" t="s">
        <v>329</v>
      </c>
      <c r="E265" t="s">
        <v>4</v>
      </c>
      <c r="F265">
        <v>760</v>
      </c>
      <c r="G265">
        <v>-880</v>
      </c>
      <c r="H265">
        <v>790</v>
      </c>
      <c r="I265">
        <v>760</v>
      </c>
      <c r="J265">
        <v>-880</v>
      </c>
      <c r="K265">
        <v>1600</v>
      </c>
      <c r="L265" t="s">
        <v>4</v>
      </c>
      <c r="M265" t="s">
        <v>4</v>
      </c>
      <c r="N265" t="s">
        <v>4</v>
      </c>
    </row>
    <row r="266" spans="1:14" x14ac:dyDescent="0.25">
      <c r="A266" s="15" t="s">
        <v>4</v>
      </c>
      <c r="B266" s="17" t="s">
        <v>182</v>
      </c>
      <c r="C266" t="s">
        <v>320</v>
      </c>
      <c r="D266" t="s">
        <v>330</v>
      </c>
      <c r="E266" t="s">
        <v>4</v>
      </c>
      <c r="F266">
        <v>-40</v>
      </c>
      <c r="G266">
        <v>880</v>
      </c>
      <c r="H266">
        <v>790</v>
      </c>
      <c r="I266">
        <v>-40</v>
      </c>
      <c r="J266">
        <v>880</v>
      </c>
      <c r="K266">
        <v>1600</v>
      </c>
      <c r="L266" t="s">
        <v>4</v>
      </c>
      <c r="M266" t="s">
        <v>4</v>
      </c>
      <c r="N266" t="s">
        <v>4</v>
      </c>
    </row>
    <row r="267" spans="1:14" x14ac:dyDescent="0.25">
      <c r="A267" s="15" t="s">
        <v>4</v>
      </c>
      <c r="B267" s="17" t="s">
        <v>182</v>
      </c>
      <c r="C267" t="s">
        <v>320</v>
      </c>
      <c r="D267" t="s">
        <v>331</v>
      </c>
      <c r="E267" t="s">
        <v>4</v>
      </c>
      <c r="F267">
        <v>760</v>
      </c>
      <c r="G267">
        <v>880</v>
      </c>
      <c r="H267">
        <v>790</v>
      </c>
      <c r="I267">
        <v>760</v>
      </c>
      <c r="J267">
        <v>880</v>
      </c>
      <c r="K267">
        <v>1600</v>
      </c>
      <c r="L267" t="s">
        <v>4</v>
      </c>
      <c r="M267" t="s">
        <v>4</v>
      </c>
      <c r="N267" t="s">
        <v>4</v>
      </c>
    </row>
    <row r="268" spans="1:12" x14ac:dyDescent="0.25">
      <c r="A268" s="15" t="s">
        <v>4</v>
      </c>
      <c r="B268" s="16" t="s">
        <v>169</v>
      </c>
      <c r="C268" t="s">
        <v>57</v>
      </c>
      <c r="D268" t="s">
        <v>170</v>
      </c>
      <c r="E268" t="s">
        <v>171</v>
      </c>
      <c r="F268" t="s">
        <v>163</v>
      </c>
      <c r="G268" t="s">
        <v>164</v>
      </c>
      <c r="H268" t="s">
        <v>201</v>
      </c>
      <c r="I268" t="s">
        <v>202</v>
      </c>
      <c r="J268" t="s">
        <v>203</v>
      </c>
      <c r="K268" t="s">
        <v>204</v>
      </c>
      <c r="L268" t="s">
        <v>205</v>
      </c>
    </row>
    <row r="269" spans="1:6" x14ac:dyDescent="0.25">
      <c r="A269" s="15" t="s">
        <v>4</v>
      </c>
      <c r="B269" s="17" t="s">
        <v>182</v>
      </c>
      <c r="C269" t="s">
        <v>320</v>
      </c>
      <c r="D269" t="s">
        <v>206</v>
      </c>
      <c r="E269" t="s">
        <v>321</v>
      </c>
      <c r="F269" t="s">
        <v>81</v>
      </c>
    </row>
    <row r="271" spans="1:12" x14ac:dyDescent="0.25">
      <c r="A271" s="15" t="s">
        <v>4</v>
      </c>
      <c r="B271" s="16" t="s">
        <v>169</v>
      </c>
      <c r="C271" t="s">
        <v>57</v>
      </c>
      <c r="D271" t="s">
        <v>170</v>
      </c>
      <c r="E271" t="s">
        <v>171</v>
      </c>
      <c r="F271" t="s">
        <v>163</v>
      </c>
      <c r="G271" t="s">
        <v>164</v>
      </c>
      <c r="H271" t="s">
        <v>201</v>
      </c>
      <c r="I271" t="s">
        <v>202</v>
      </c>
      <c r="J271" t="s">
        <v>203</v>
      </c>
      <c r="K271" t="s">
        <v>204</v>
      </c>
      <c r="L271" t="s">
        <v>205</v>
      </c>
    </row>
    <row r="272" spans="1:12" x14ac:dyDescent="0.25">
      <c r="A272" s="15" t="s">
        <v>4</v>
      </c>
      <c r="B272" s="17" t="s">
        <v>182</v>
      </c>
      <c r="C272" t="s">
        <v>332</v>
      </c>
      <c r="D272" t="s">
        <v>333</v>
      </c>
      <c r="E272" t="s">
        <v>81</v>
      </c>
      <c r="F272">
        <v>0</v>
      </c>
      <c r="G272">
        <v>0</v>
      </c>
      <c r="H272">
        <v>0</v>
      </c>
      <c r="I272" t="s">
        <v>209</v>
      </c>
      <c r="J272" t="s">
        <v>4</v>
      </c>
      <c r="K272" t="s">
        <v>4</v>
      </c>
      <c r="L272" t="s">
        <v>4</v>
      </c>
    </row>
    <row r="273" spans="1:12" x14ac:dyDescent="0.25">
      <c r="A273" s="15" t="s">
        <v>4</v>
      </c>
      <c r="B273" s="17" t="s">
        <v>182</v>
      </c>
      <c r="C273" t="s">
        <v>332</v>
      </c>
      <c r="D273" t="s">
        <v>334</v>
      </c>
      <c r="E273" t="s">
        <v>81</v>
      </c>
      <c r="F273">
        <v>0</v>
      </c>
      <c r="G273">
        <v>0</v>
      </c>
      <c r="H273">
        <v>2200</v>
      </c>
      <c r="I273" t="s">
        <v>209</v>
      </c>
      <c r="J273" t="s">
        <v>4</v>
      </c>
      <c r="K273" t="s">
        <v>4</v>
      </c>
      <c r="L273" t="s">
        <v>4</v>
      </c>
    </row>
    <row r="274" spans="1:12" x14ac:dyDescent="0.25">
      <c r="A274" s="15" t="s">
        <v>4</v>
      </c>
      <c r="B274" s="17" t="s">
        <v>182</v>
      </c>
      <c r="C274" t="s">
        <v>332</v>
      </c>
      <c r="D274" t="s">
        <v>335</v>
      </c>
      <c r="E274" t="s">
        <v>81</v>
      </c>
      <c r="F274">
        <v>0</v>
      </c>
      <c r="G274">
        <v>-1050</v>
      </c>
      <c r="H274">
        <v>1100</v>
      </c>
      <c r="I274" t="s">
        <v>280</v>
      </c>
      <c r="J274" t="s">
        <v>4</v>
      </c>
      <c r="K274" t="s">
        <v>4</v>
      </c>
      <c r="L274" t="s">
        <v>4</v>
      </c>
    </row>
    <row r="275" spans="1:12" x14ac:dyDescent="0.25">
      <c r="A275" s="15" t="s">
        <v>4</v>
      </c>
      <c r="B275" s="17" t="s">
        <v>182</v>
      </c>
      <c r="C275" t="s">
        <v>332</v>
      </c>
      <c r="D275" t="s">
        <v>336</v>
      </c>
      <c r="E275" t="s">
        <v>81</v>
      </c>
      <c r="F275">
        <v>0</v>
      </c>
      <c r="G275">
        <v>1050</v>
      </c>
      <c r="H275">
        <v>1100</v>
      </c>
      <c r="I275" t="s">
        <v>280</v>
      </c>
      <c r="J275" t="s">
        <v>4</v>
      </c>
      <c r="K275" t="s">
        <v>4</v>
      </c>
      <c r="L275" t="s">
        <v>4</v>
      </c>
    </row>
    <row r="276" spans="1:12" x14ac:dyDescent="0.25">
      <c r="A276" s="15" t="s">
        <v>4</v>
      </c>
      <c r="B276" s="17" t="s">
        <v>182</v>
      </c>
      <c r="C276" t="s">
        <v>332</v>
      </c>
      <c r="D276" t="s">
        <v>337</v>
      </c>
      <c r="E276" t="s">
        <v>81</v>
      </c>
      <c r="F276">
        <v>950</v>
      </c>
      <c r="G276">
        <v>0</v>
      </c>
      <c r="H276">
        <v>1100</v>
      </c>
      <c r="I276" t="s">
        <v>306</v>
      </c>
      <c r="J276" t="s">
        <v>4</v>
      </c>
      <c r="K276" t="s">
        <v>4</v>
      </c>
      <c r="L276" t="s">
        <v>4</v>
      </c>
    </row>
    <row r="277" spans="1:12" x14ac:dyDescent="0.25">
      <c r="A277" s="15" t="s">
        <v>4</v>
      </c>
      <c r="B277" s="17" t="s">
        <v>182</v>
      </c>
      <c r="C277" t="s">
        <v>332</v>
      </c>
      <c r="D277" t="s">
        <v>338</v>
      </c>
      <c r="E277" t="s">
        <v>81</v>
      </c>
      <c r="F277">
        <v>-950</v>
      </c>
      <c r="G277">
        <v>0</v>
      </c>
      <c r="H277">
        <v>1100</v>
      </c>
      <c r="I277" t="s">
        <v>306</v>
      </c>
      <c r="J277" t="s">
        <v>4</v>
      </c>
      <c r="K277" t="s">
        <v>4</v>
      </c>
      <c r="L277" t="s">
        <v>4</v>
      </c>
    </row>
    <row r="278" spans="1:6" x14ac:dyDescent="0.25">
      <c r="A278" s="15" t="s">
        <v>4</v>
      </c>
      <c r="B278" s="17" t="s">
        <v>182</v>
      </c>
      <c r="C278" t="s">
        <v>332</v>
      </c>
      <c r="D278" t="s">
        <v>206</v>
      </c>
      <c r="E278" t="s">
        <v>333</v>
      </c>
      <c r="F278" t="s">
        <v>81</v>
      </c>
    </row>
    <row r="280" spans="1:12" x14ac:dyDescent="0.25">
      <c r="A280" s="15" t="s">
        <v>4</v>
      </c>
      <c r="B280" s="16" t="s">
        <v>169</v>
      </c>
      <c r="C280" t="s">
        <v>57</v>
      </c>
      <c r="D280" t="s">
        <v>170</v>
      </c>
      <c r="E280" t="s">
        <v>171</v>
      </c>
      <c r="F280" t="s">
        <v>163</v>
      </c>
      <c r="G280" t="s">
        <v>164</v>
      </c>
      <c r="H280" t="s">
        <v>201</v>
      </c>
      <c r="I280" t="s">
        <v>202</v>
      </c>
      <c r="J280" t="s">
        <v>203</v>
      </c>
      <c r="K280" t="s">
        <v>204</v>
      </c>
      <c r="L280" t="s">
        <v>205</v>
      </c>
    </row>
    <row r="281" spans="1:12" x14ac:dyDescent="0.25">
      <c r="A281" s="15" t="s">
        <v>4</v>
      </c>
      <c r="B281" s="17" t="s">
        <v>182</v>
      </c>
      <c r="C281" t="s">
        <v>339</v>
      </c>
      <c r="D281" t="s">
        <v>147</v>
      </c>
      <c r="E281" t="s">
        <v>81</v>
      </c>
      <c r="F281">
        <v>0</v>
      </c>
      <c r="G281">
        <v>0</v>
      </c>
      <c r="H281">
        <v>0</v>
      </c>
      <c r="I281" t="s">
        <v>209</v>
      </c>
      <c r="J281" t="s">
        <v>4</v>
      </c>
      <c r="K281" t="s">
        <v>4</v>
      </c>
      <c r="L281" t="s">
        <v>4</v>
      </c>
    </row>
    <row r="282" spans="1:12" x14ac:dyDescent="0.25">
      <c r="A282" s="15" t="s">
        <v>4</v>
      </c>
      <c r="B282" s="17" t="s">
        <v>182</v>
      </c>
      <c r="C282" t="s">
        <v>339</v>
      </c>
      <c r="D282" t="s">
        <v>340</v>
      </c>
      <c r="E282" t="s">
        <v>81</v>
      </c>
      <c r="F282">
        <v>-480</v>
      </c>
      <c r="G282">
        <v>-720</v>
      </c>
      <c r="H282">
        <v>-200</v>
      </c>
      <c r="I282" t="s">
        <v>280</v>
      </c>
      <c r="J282" t="s">
        <v>4</v>
      </c>
      <c r="K282" t="s">
        <v>4</v>
      </c>
      <c r="L282" t="s">
        <v>4</v>
      </c>
    </row>
    <row r="283" spans="1:12" x14ac:dyDescent="0.25">
      <c r="A283" s="15" t="s">
        <v>4</v>
      </c>
      <c r="B283" s="17" t="s">
        <v>182</v>
      </c>
      <c r="C283" t="s">
        <v>339</v>
      </c>
      <c r="D283" t="s">
        <v>341</v>
      </c>
      <c r="E283" t="s">
        <v>81</v>
      </c>
      <c r="F283">
        <v>-480</v>
      </c>
      <c r="G283">
        <v>720</v>
      </c>
      <c r="H283">
        <v>-200</v>
      </c>
      <c r="I283" t="s">
        <v>280</v>
      </c>
      <c r="J283" t="s">
        <v>4</v>
      </c>
      <c r="K283" t="s">
        <v>4</v>
      </c>
      <c r="L283" t="s">
        <v>4</v>
      </c>
    </row>
    <row r="284" spans="1:12" x14ac:dyDescent="0.25">
      <c r="A284" s="15" t="s">
        <v>4</v>
      </c>
      <c r="B284" s="17" t="s">
        <v>182</v>
      </c>
      <c r="C284" t="s">
        <v>339</v>
      </c>
      <c r="D284" t="s">
        <v>342</v>
      </c>
      <c r="E284" t="s">
        <v>81</v>
      </c>
      <c r="F284">
        <v>480</v>
      </c>
      <c r="G284">
        <v>-720</v>
      </c>
      <c r="H284">
        <v>-200</v>
      </c>
      <c r="I284" t="s">
        <v>280</v>
      </c>
      <c r="J284" t="s">
        <v>4</v>
      </c>
      <c r="K284" t="s">
        <v>4</v>
      </c>
      <c r="L284" t="s">
        <v>4</v>
      </c>
    </row>
    <row r="285" spans="1:12" x14ac:dyDescent="0.25">
      <c r="A285" s="15" t="s">
        <v>4</v>
      </c>
      <c r="B285" s="17" t="s">
        <v>182</v>
      </c>
      <c r="C285" t="s">
        <v>339</v>
      </c>
      <c r="D285" t="s">
        <v>343</v>
      </c>
      <c r="E285" t="s">
        <v>81</v>
      </c>
      <c r="F285">
        <v>480</v>
      </c>
      <c r="G285">
        <v>720</v>
      </c>
      <c r="H285">
        <v>-200</v>
      </c>
      <c r="I285" t="s">
        <v>280</v>
      </c>
      <c r="J285" t="s">
        <v>4</v>
      </c>
      <c r="K285" t="s">
        <v>4</v>
      </c>
      <c r="L285" t="s">
        <v>4</v>
      </c>
    </row>
    <row r="286" spans="1:14" x14ac:dyDescent="0.25">
      <c r="A286" s="15" t="s">
        <v>4</v>
      </c>
      <c r="B286" s="16" t="s">
        <v>169</v>
      </c>
      <c r="C286" t="s">
        <v>57</v>
      </c>
      <c r="D286" t="s">
        <v>170</v>
      </c>
      <c r="E286" t="s">
        <v>171</v>
      </c>
      <c r="F286" t="s">
        <v>172</v>
      </c>
      <c r="G286" t="s">
        <v>173</v>
      </c>
      <c r="H286" t="s">
        <v>174</v>
      </c>
      <c r="I286" t="s">
        <v>175</v>
      </c>
      <c r="J286" t="s">
        <v>176</v>
      </c>
      <c r="K286" t="s">
        <v>177</v>
      </c>
      <c r="L286" t="s">
        <v>178</v>
      </c>
      <c r="M286" t="s">
        <v>179</v>
      </c>
      <c r="N286" t="s">
        <v>180</v>
      </c>
    </row>
    <row r="287" spans="1:14" x14ac:dyDescent="0.25">
      <c r="A287" s="15" t="s">
        <v>4</v>
      </c>
      <c r="B287" s="17" t="s">
        <v>182</v>
      </c>
      <c r="C287" t="s">
        <v>339</v>
      </c>
      <c r="D287" t="s">
        <v>286</v>
      </c>
      <c r="E287" t="s">
        <v>4</v>
      </c>
      <c r="F287">
        <v>-480</v>
      </c>
      <c r="G287">
        <v>-800</v>
      </c>
      <c r="H287">
        <v>-200</v>
      </c>
      <c r="I287">
        <v>-480</v>
      </c>
      <c r="J287">
        <v>800</v>
      </c>
      <c r="K287">
        <v>-200</v>
      </c>
      <c r="L287" t="s">
        <v>4</v>
      </c>
      <c r="M287" t="s">
        <v>4</v>
      </c>
      <c r="N287" t="s">
        <v>4</v>
      </c>
    </row>
    <row r="288" spans="1:14" x14ac:dyDescent="0.25">
      <c r="A288" s="15" t="s">
        <v>4</v>
      </c>
      <c r="B288" s="17" t="s">
        <v>182</v>
      </c>
      <c r="C288" t="s">
        <v>339</v>
      </c>
      <c r="D288" t="s">
        <v>287</v>
      </c>
      <c r="E288" t="s">
        <v>4</v>
      </c>
      <c r="F288">
        <v>480</v>
      </c>
      <c r="G288">
        <v>-800</v>
      </c>
      <c r="H288">
        <v>-200</v>
      </c>
      <c r="I288">
        <v>480</v>
      </c>
      <c r="J288">
        <v>800</v>
      </c>
      <c r="K288">
        <v>-200</v>
      </c>
      <c r="L288" t="s">
        <v>4</v>
      </c>
      <c r="M288" t="s">
        <v>4</v>
      </c>
      <c r="N288" t="s">
        <v>4</v>
      </c>
    </row>
    <row r="289" spans="1:12" x14ac:dyDescent="0.25">
      <c r="A289" s="15" t="s">
        <v>4</v>
      </c>
      <c r="B289" s="16" t="s">
        <v>169</v>
      </c>
      <c r="C289" t="s">
        <v>57</v>
      </c>
      <c r="D289" t="s">
        <v>170</v>
      </c>
      <c r="E289" t="s">
        <v>171</v>
      </c>
      <c r="F289" t="s">
        <v>163</v>
      </c>
      <c r="G289" t="s">
        <v>164</v>
      </c>
      <c r="H289" t="s">
        <v>201</v>
      </c>
      <c r="I289" t="s">
        <v>202</v>
      </c>
      <c r="J289" t="s">
        <v>203</v>
      </c>
      <c r="K289" t="s">
        <v>204</v>
      </c>
      <c r="L289" t="s">
        <v>205</v>
      </c>
    </row>
    <row r="290" spans="1:6" x14ac:dyDescent="0.25">
      <c r="A290" s="15" t="s">
        <v>4</v>
      </c>
      <c r="B290" s="17" t="s">
        <v>182</v>
      </c>
      <c r="C290" t="s">
        <v>339</v>
      </c>
      <c r="D290" t="s">
        <v>206</v>
      </c>
      <c r="E290" t="s">
        <v>147</v>
      </c>
      <c r="F290" t="s">
        <v>81</v>
      </c>
    </row>
    <row r="292" spans="1:14" x14ac:dyDescent="0.25">
      <c r="A292" s="15" t="s">
        <v>4</v>
      </c>
      <c r="B292" s="16" t="s">
        <v>169</v>
      </c>
      <c r="C292" t="s">
        <v>57</v>
      </c>
      <c r="D292" t="s">
        <v>170</v>
      </c>
      <c r="E292" t="s">
        <v>171</v>
      </c>
      <c r="F292" t="s">
        <v>172</v>
      </c>
      <c r="G292" t="s">
        <v>173</v>
      </c>
      <c r="H292" t="s">
        <v>174</v>
      </c>
      <c r="I292" t="s">
        <v>175</v>
      </c>
      <c r="J292" t="s">
        <v>176</v>
      </c>
      <c r="K292" t="s">
        <v>177</v>
      </c>
      <c r="L292" t="s">
        <v>178</v>
      </c>
      <c r="M292" t="s">
        <v>179</v>
      </c>
      <c r="N292" t="s">
        <v>180</v>
      </c>
    </row>
    <row r="293" spans="1:14" x14ac:dyDescent="0.25">
      <c r="A293" s="15" t="s">
        <v>4</v>
      </c>
      <c r="B293" s="17" t="s">
        <v>182</v>
      </c>
      <c r="C293" t="s">
        <v>344</v>
      </c>
      <c r="D293" t="s">
        <v>112</v>
      </c>
      <c r="E293" t="s">
        <v>4</v>
      </c>
      <c r="F293">
        <v>0</v>
      </c>
      <c r="G293">
        <v>0</v>
      </c>
      <c r="H293">
        <v>0</v>
      </c>
      <c r="I293">
        <v>0</v>
      </c>
      <c r="J293">
        <v>0</v>
      </c>
      <c r="K293">
        <v>-700</v>
      </c>
      <c r="L293" t="s">
        <v>4</v>
      </c>
      <c r="M293" t="s">
        <v>4</v>
      </c>
      <c r="N293" t="s">
        <v>4</v>
      </c>
    </row>
    <row r="294" spans="1:12" x14ac:dyDescent="0.25">
      <c r="A294" s="15" t="s">
        <v>4</v>
      </c>
      <c r="B294" s="16" t="s">
        <v>169</v>
      </c>
      <c r="C294" t="s">
        <v>57</v>
      </c>
      <c r="D294" t="s">
        <v>170</v>
      </c>
      <c r="E294" t="s">
        <v>171</v>
      </c>
      <c r="F294" t="s">
        <v>163</v>
      </c>
      <c r="G294" t="s">
        <v>164</v>
      </c>
      <c r="H294" t="s">
        <v>201</v>
      </c>
      <c r="I294" t="s">
        <v>202</v>
      </c>
      <c r="J294" t="s">
        <v>203</v>
      </c>
      <c r="K294" t="s">
        <v>204</v>
      </c>
      <c r="L294" t="s">
        <v>205</v>
      </c>
    </row>
    <row r="295" spans="1:12" x14ac:dyDescent="0.25">
      <c r="A295" s="15" t="s">
        <v>4</v>
      </c>
      <c r="B295" s="17" t="s">
        <v>182</v>
      </c>
      <c r="C295" t="s">
        <v>344</v>
      </c>
      <c r="D295" t="s">
        <v>345</v>
      </c>
      <c r="E295" t="s">
        <v>74</v>
      </c>
      <c r="F295">
        <v>-600</v>
      </c>
      <c r="G295">
        <v>-230</v>
      </c>
      <c r="H295">
        <v>20</v>
      </c>
      <c r="I295" t="s">
        <v>280</v>
      </c>
      <c r="J295" t="s">
        <v>4</v>
      </c>
      <c r="K295" t="s">
        <v>4</v>
      </c>
      <c r="L295" t="s">
        <v>4</v>
      </c>
    </row>
    <row r="296" spans="1:12" x14ac:dyDescent="0.25">
      <c r="A296" s="15" t="s">
        <v>4</v>
      </c>
      <c r="B296" s="17" t="s">
        <v>182</v>
      </c>
      <c r="C296" t="s">
        <v>344</v>
      </c>
      <c r="D296" t="s">
        <v>346</v>
      </c>
      <c r="E296" t="s">
        <v>74</v>
      </c>
      <c r="F296">
        <v>-600</v>
      </c>
      <c r="G296">
        <v>230</v>
      </c>
      <c r="H296">
        <v>20</v>
      </c>
      <c r="I296" t="s">
        <v>280</v>
      </c>
      <c r="J296" t="s">
        <v>4</v>
      </c>
      <c r="K296" t="s">
        <v>4</v>
      </c>
      <c r="L296" t="s">
        <v>4</v>
      </c>
    </row>
    <row r="297" spans="1:12" x14ac:dyDescent="0.25">
      <c r="A297" s="15" t="s">
        <v>4</v>
      </c>
      <c r="B297" s="17" t="s">
        <v>182</v>
      </c>
      <c r="C297" t="s">
        <v>344</v>
      </c>
      <c r="D297" t="s">
        <v>347</v>
      </c>
      <c r="E297" t="s">
        <v>81</v>
      </c>
      <c r="F297">
        <v>0</v>
      </c>
      <c r="G297">
        <v>-150</v>
      </c>
      <c r="H297">
        <v>520</v>
      </c>
      <c r="I297" t="s">
        <v>280</v>
      </c>
      <c r="J297" t="s">
        <v>4</v>
      </c>
      <c r="K297" t="s">
        <v>4</v>
      </c>
      <c r="L297" t="s">
        <v>4</v>
      </c>
    </row>
    <row r="298" spans="1:12" x14ac:dyDescent="0.25">
      <c r="A298" s="15" t="s">
        <v>4</v>
      </c>
      <c r="B298" s="17" t="s">
        <v>182</v>
      </c>
      <c r="C298" t="s">
        <v>344</v>
      </c>
      <c r="D298" t="s">
        <v>348</v>
      </c>
      <c r="E298" t="s">
        <v>81</v>
      </c>
      <c r="F298">
        <v>0</v>
      </c>
      <c r="G298">
        <v>0</v>
      </c>
      <c r="H298">
        <v>520</v>
      </c>
      <c r="I298" t="s">
        <v>280</v>
      </c>
      <c r="J298" t="s">
        <v>4</v>
      </c>
      <c r="K298" t="s">
        <v>4</v>
      </c>
      <c r="L298" t="s">
        <v>4</v>
      </c>
    </row>
    <row r="299" spans="1:12" x14ac:dyDescent="0.25">
      <c r="A299" s="15" t="s">
        <v>4</v>
      </c>
      <c r="B299" s="17" t="s">
        <v>182</v>
      </c>
      <c r="C299" t="s">
        <v>344</v>
      </c>
      <c r="D299" t="s">
        <v>349</v>
      </c>
      <c r="E299" t="s">
        <v>81</v>
      </c>
      <c r="F299">
        <v>0</v>
      </c>
      <c r="G299">
        <v>150</v>
      </c>
      <c r="H299">
        <v>520</v>
      </c>
      <c r="I299" t="s">
        <v>280</v>
      </c>
      <c r="J299" t="s">
        <v>4</v>
      </c>
      <c r="K299" t="s">
        <v>4</v>
      </c>
      <c r="L299" t="s">
        <v>4</v>
      </c>
    </row>
    <row r="300" spans="1:14" x14ac:dyDescent="0.25">
      <c r="A300" s="15" t="s">
        <v>4</v>
      </c>
      <c r="B300" s="16" t="s">
        <v>169</v>
      </c>
      <c r="C300" t="s">
        <v>57</v>
      </c>
      <c r="D300" t="s">
        <v>170</v>
      </c>
      <c r="E300" t="s">
        <v>171</v>
      </c>
      <c r="F300" t="s">
        <v>172</v>
      </c>
      <c r="G300" t="s">
        <v>173</v>
      </c>
      <c r="H300" t="s">
        <v>174</v>
      </c>
      <c r="I300" t="s">
        <v>175</v>
      </c>
      <c r="J300" t="s">
        <v>176</v>
      </c>
      <c r="K300" t="s">
        <v>177</v>
      </c>
      <c r="L300" t="s">
        <v>178</v>
      </c>
      <c r="M300" t="s">
        <v>179</v>
      </c>
      <c r="N300" t="s">
        <v>180</v>
      </c>
    </row>
    <row r="301" spans="1:14" x14ac:dyDescent="0.25">
      <c r="A301" s="15" t="s">
        <v>4</v>
      </c>
      <c r="B301" s="17" t="s">
        <v>182</v>
      </c>
      <c r="C301" t="s">
        <v>344</v>
      </c>
      <c r="D301" t="s">
        <v>113</v>
      </c>
      <c r="E301" t="s">
        <v>4</v>
      </c>
      <c r="F301">
        <v>0</v>
      </c>
      <c r="G301">
        <v>-205</v>
      </c>
      <c r="H301">
        <v>520</v>
      </c>
      <c r="I301">
        <v>0</v>
      </c>
      <c r="J301">
        <v>205</v>
      </c>
      <c r="K301">
        <v>520</v>
      </c>
      <c r="L301" t="s">
        <v>4</v>
      </c>
      <c r="M301" t="s">
        <v>4</v>
      </c>
      <c r="N301" t="s">
        <v>4</v>
      </c>
    </row>
    <row r="302" spans="1:12" x14ac:dyDescent="0.25">
      <c r="A302" s="15" t="s">
        <v>4</v>
      </c>
      <c r="B302" s="16" t="s">
        <v>169</v>
      </c>
      <c r="C302" t="s">
        <v>57</v>
      </c>
      <c r="D302" t="s">
        <v>170</v>
      </c>
      <c r="E302" t="s">
        <v>171</v>
      </c>
      <c r="F302" t="s">
        <v>163</v>
      </c>
      <c r="G302" t="s">
        <v>164</v>
      </c>
      <c r="H302" t="s">
        <v>201</v>
      </c>
      <c r="I302" t="s">
        <v>202</v>
      </c>
      <c r="J302" t="s">
        <v>203</v>
      </c>
      <c r="K302" t="s">
        <v>204</v>
      </c>
      <c r="L302" t="s">
        <v>205</v>
      </c>
    </row>
    <row r="303" spans="1:12" x14ac:dyDescent="0.25">
      <c r="A303" s="15" t="s">
        <v>4</v>
      </c>
      <c r="B303" s="17" t="s">
        <v>182</v>
      </c>
      <c r="C303" t="s">
        <v>344</v>
      </c>
      <c r="D303" t="s">
        <v>151</v>
      </c>
      <c r="E303" t="s">
        <v>74</v>
      </c>
      <c r="F303">
        <v>-450</v>
      </c>
      <c r="G303">
        <v>0</v>
      </c>
      <c r="H303">
        <v>-1910</v>
      </c>
      <c r="I303" t="s">
        <v>280</v>
      </c>
      <c r="J303" t="s">
        <v>4</v>
      </c>
      <c r="K303" t="s">
        <v>4</v>
      </c>
      <c r="L303" t="s">
        <v>4</v>
      </c>
    </row>
    <row r="304" spans="1:14" x14ac:dyDescent="0.25">
      <c r="A304" s="15" t="s">
        <v>4</v>
      </c>
      <c r="B304" s="16" t="s">
        <v>169</v>
      </c>
      <c r="C304" t="s">
        <v>57</v>
      </c>
      <c r="D304" t="s">
        <v>170</v>
      </c>
      <c r="E304" t="s">
        <v>171</v>
      </c>
      <c r="F304" t="s">
        <v>172</v>
      </c>
      <c r="G304" t="s">
        <v>173</v>
      </c>
      <c r="H304" t="s">
        <v>174</v>
      </c>
      <c r="I304" t="s">
        <v>175</v>
      </c>
      <c r="J304" t="s">
        <v>176</v>
      </c>
      <c r="K304" t="s">
        <v>177</v>
      </c>
      <c r="L304" t="s">
        <v>178</v>
      </c>
      <c r="M304" t="s">
        <v>179</v>
      </c>
      <c r="N304" t="s">
        <v>180</v>
      </c>
    </row>
    <row r="305" spans="1:14" x14ac:dyDescent="0.25">
      <c r="A305" s="15" t="s">
        <v>4</v>
      </c>
      <c r="B305" s="17" t="s">
        <v>182</v>
      </c>
      <c r="C305" t="s">
        <v>344</v>
      </c>
      <c r="D305" t="s">
        <v>350</v>
      </c>
      <c r="E305" t="s">
        <v>4</v>
      </c>
      <c r="F305">
        <v>-380</v>
      </c>
      <c r="G305">
        <v>-75</v>
      </c>
      <c r="H305">
        <v>520</v>
      </c>
      <c r="I305">
        <v>-380</v>
      </c>
      <c r="J305">
        <v>-75</v>
      </c>
      <c r="K305" s="18">
        <f>=PARAM!$D$19</f>
        <v>26020</v>
      </c>
      <c r="L305">
        <v>300</v>
      </c>
      <c r="M305">
        <v>60</v>
      </c>
      <c r="N305" t="s">
        <v>4</v>
      </c>
    </row>
    <row r="306" spans="1:14" x14ac:dyDescent="0.25">
      <c r="A306" s="15" t="s">
        <v>4</v>
      </c>
      <c r="B306" s="17" t="s">
        <v>182</v>
      </c>
      <c r="C306" t="s">
        <v>344</v>
      </c>
      <c r="D306" t="s">
        <v>351</v>
      </c>
      <c r="E306" t="s">
        <v>4</v>
      </c>
      <c r="F306">
        <v>380</v>
      </c>
      <c r="G306">
        <v>-75</v>
      </c>
      <c r="H306">
        <v>520</v>
      </c>
      <c r="I306">
        <v>380</v>
      </c>
      <c r="J306">
        <v>-75</v>
      </c>
      <c r="K306" s="18">
        <f>=PARAM!$D$19</f>
        <v>26020</v>
      </c>
      <c r="L306">
        <v>300</v>
      </c>
      <c r="M306">
        <v>60</v>
      </c>
      <c r="N306" t="s">
        <v>4</v>
      </c>
    </row>
    <row r="307" spans="1:14" x14ac:dyDescent="0.25">
      <c r="A307" s="15" t="s">
        <v>4</v>
      </c>
      <c r="B307" s="17" t="s">
        <v>182</v>
      </c>
      <c r="C307" t="s">
        <v>344</v>
      </c>
      <c r="D307" t="s">
        <v>352</v>
      </c>
      <c r="E307" t="s">
        <v>4</v>
      </c>
      <c r="F307">
        <v>-380</v>
      </c>
      <c r="G307">
        <v>75</v>
      </c>
      <c r="H307">
        <v>520</v>
      </c>
      <c r="I307">
        <v>-380</v>
      </c>
      <c r="J307">
        <v>75</v>
      </c>
      <c r="K307" s="18">
        <f>=PARAM!$D$19</f>
        <v>26020</v>
      </c>
      <c r="L307">
        <v>300</v>
      </c>
      <c r="M307">
        <v>60</v>
      </c>
      <c r="N307" t="s">
        <v>4</v>
      </c>
    </row>
    <row r="308" spans="1:14" x14ac:dyDescent="0.25">
      <c r="A308" s="15" t="s">
        <v>4</v>
      </c>
      <c r="B308" s="17" t="s">
        <v>182</v>
      </c>
      <c r="C308" t="s">
        <v>344</v>
      </c>
      <c r="D308" t="s">
        <v>353</v>
      </c>
      <c r="E308" t="s">
        <v>4</v>
      </c>
      <c r="F308">
        <v>380</v>
      </c>
      <c r="G308">
        <v>75</v>
      </c>
      <c r="H308">
        <v>520</v>
      </c>
      <c r="I308">
        <v>380</v>
      </c>
      <c r="J308">
        <v>75</v>
      </c>
      <c r="K308" s="18">
        <f>=PARAM!$D$19</f>
        <v>26020</v>
      </c>
      <c r="L308">
        <v>300</v>
      </c>
      <c r="M308">
        <v>60</v>
      </c>
      <c r="N308" t="s">
        <v>4</v>
      </c>
    </row>
    <row r="309" spans="1:12" x14ac:dyDescent="0.25">
      <c r="A309" s="15" t="s">
        <v>4</v>
      </c>
      <c r="B309" s="16" t="s">
        <v>169</v>
      </c>
      <c r="C309" t="s">
        <v>57</v>
      </c>
      <c r="D309" t="s">
        <v>170</v>
      </c>
      <c r="E309" t="s">
        <v>171</v>
      </c>
      <c r="F309" t="s">
        <v>163</v>
      </c>
      <c r="G309" t="s">
        <v>164</v>
      </c>
      <c r="H309" t="s">
        <v>201</v>
      </c>
      <c r="I309" t="s">
        <v>202</v>
      </c>
      <c r="J309" t="s">
        <v>203</v>
      </c>
      <c r="K309" t="s">
        <v>204</v>
      </c>
      <c r="L309" t="s">
        <v>205</v>
      </c>
    </row>
    <row r="310" spans="1:6" x14ac:dyDescent="0.25">
      <c r="A310" s="15" t="s">
        <v>4</v>
      </c>
      <c r="B310" s="17" t="s">
        <v>182</v>
      </c>
      <c r="C310" t="s">
        <v>344</v>
      </c>
      <c r="D310" t="s">
        <v>206</v>
      </c>
      <c r="E310" t="s">
        <v>112</v>
      </c>
      <c r="F310" t="s">
        <v>81</v>
      </c>
    </row>
    <row r="312" spans="1:12" x14ac:dyDescent="0.25">
      <c r="A312" s="15" t="s">
        <v>4</v>
      </c>
      <c r="B312" s="16" t="s">
        <v>169</v>
      </c>
      <c r="C312" t="s">
        <v>57</v>
      </c>
      <c r="D312" t="s">
        <v>170</v>
      </c>
      <c r="E312" t="s">
        <v>171</v>
      </c>
      <c r="F312" t="s">
        <v>163</v>
      </c>
      <c r="G312" t="s">
        <v>164</v>
      </c>
      <c r="H312" t="s">
        <v>201</v>
      </c>
      <c r="I312" t="s">
        <v>202</v>
      </c>
      <c r="J312" t="s">
        <v>203</v>
      </c>
      <c r="K312" t="s">
        <v>204</v>
      </c>
      <c r="L312" t="s">
        <v>205</v>
      </c>
    </row>
    <row r="313" spans="1:12" x14ac:dyDescent="0.25">
      <c r="A313" s="15" t="s">
        <v>4</v>
      </c>
      <c r="B313" s="17" t="s">
        <v>182</v>
      </c>
      <c r="C313" t="s">
        <v>354</v>
      </c>
      <c r="D313" t="s">
        <v>134</v>
      </c>
      <c r="E313" t="s">
        <v>81</v>
      </c>
      <c r="F313">
        <v>0</v>
      </c>
      <c r="G313">
        <v>0</v>
      </c>
      <c r="H313">
        <v>0</v>
      </c>
      <c r="I313" t="s">
        <v>280</v>
      </c>
      <c r="J313" t="s">
        <v>4</v>
      </c>
      <c r="K313" t="s">
        <v>4</v>
      </c>
      <c r="L313" t="s">
        <v>4</v>
      </c>
    </row>
    <row r="314" spans="1:14" x14ac:dyDescent="0.25">
      <c r="A314" s="15" t="s">
        <v>4</v>
      </c>
      <c r="B314" s="16" t="s">
        <v>169</v>
      </c>
      <c r="C314" t="s">
        <v>57</v>
      </c>
      <c r="D314" t="s">
        <v>170</v>
      </c>
      <c r="E314" t="s">
        <v>171</v>
      </c>
      <c r="F314" t="s">
        <v>172</v>
      </c>
      <c r="G314" t="s">
        <v>173</v>
      </c>
      <c r="H314" t="s">
        <v>174</v>
      </c>
      <c r="I314" t="s">
        <v>175</v>
      </c>
      <c r="J314" t="s">
        <v>176</v>
      </c>
      <c r="K314" t="s">
        <v>177</v>
      </c>
      <c r="L314" t="s">
        <v>178</v>
      </c>
      <c r="M314" t="s">
        <v>179</v>
      </c>
      <c r="N314" t="s">
        <v>180</v>
      </c>
    </row>
    <row r="315" spans="1:14" x14ac:dyDescent="0.25">
      <c r="A315" s="15" t="s">
        <v>4</v>
      </c>
      <c r="B315" s="17" t="s">
        <v>182</v>
      </c>
      <c r="C315" t="s">
        <v>354</v>
      </c>
      <c r="D315" t="s">
        <v>355</v>
      </c>
      <c r="E315" t="s">
        <v>4</v>
      </c>
      <c r="F315">
        <v>0</v>
      </c>
      <c r="G315">
        <v>-130</v>
      </c>
      <c r="H315">
        <v>0</v>
      </c>
      <c r="I315" s="18">
        <f>=PARAM!$E$12+PARAM!$C$12*ROUND((PARAM!$D$12-2)/2,0)</f>
        <v>21400</v>
      </c>
      <c r="J315">
        <v>-650</v>
      </c>
      <c r="K315" s="18">
        <f>=2310-PARAM!$F$6</f>
        <v>-7320</v>
      </c>
      <c r="L315">
        <v>150</v>
      </c>
      <c r="M315">
        <v>70</v>
      </c>
      <c r="N315" t="s">
        <v>4</v>
      </c>
    </row>
    <row r="316" spans="1:14" x14ac:dyDescent="0.25">
      <c r="A316" s="15" t="s">
        <v>4</v>
      </c>
      <c r="B316" s="17" t="s">
        <v>182</v>
      </c>
      <c r="C316" t="s">
        <v>354</v>
      </c>
      <c r="D316" t="s">
        <v>356</v>
      </c>
      <c r="E316" t="s">
        <v>4</v>
      </c>
      <c r="F316">
        <v>0</v>
      </c>
      <c r="G316">
        <v>130</v>
      </c>
      <c r="H316">
        <v>0</v>
      </c>
      <c r="I316" s="18">
        <f>=PARAM!$E$12+PARAM!$C$12*ROUND((PARAM!$D$12-2)/2,0)</f>
        <v>21400</v>
      </c>
      <c r="J316">
        <v>650</v>
      </c>
      <c r="K316" s="18">
        <f>=2310-PARAM!$F$6</f>
        <v>-7320</v>
      </c>
      <c r="L316">
        <v>150</v>
      </c>
      <c r="M316">
        <v>70</v>
      </c>
      <c r="N316" t="s">
        <v>4</v>
      </c>
    </row>
    <row r="317" spans="1:14" x14ac:dyDescent="0.25">
      <c r="A317" s="15" t="s">
        <v>4</v>
      </c>
      <c r="B317" s="17" t="s">
        <v>182</v>
      </c>
      <c r="C317" t="s">
        <v>354</v>
      </c>
      <c r="D317" t="s">
        <v>357</v>
      </c>
      <c r="E317" t="s">
        <v>4</v>
      </c>
      <c r="F317" s="18">
        <f>=PARAM!$E$12+PARAM!$C$12*ROUND((PARAM!$D$12-2)/2,0)</f>
        <v>21400</v>
      </c>
      <c r="G317">
        <v>-650</v>
      </c>
      <c r="H317" s="18">
        <f>=2310-PARAM!$F$6</f>
        <v>-7320</v>
      </c>
      <c r="I317" s="18">
        <f>=PARAM!$H$12-1500</f>
        <v>45400</v>
      </c>
      <c r="J317">
        <v>-650</v>
      </c>
      <c r="K317" s="18">
        <f>=2310-PARAM!$F$6</f>
        <v>-7320</v>
      </c>
      <c r="L317" t="s">
        <v>4</v>
      </c>
      <c r="M317" t="s">
        <v>4</v>
      </c>
      <c r="N317" t="s">
        <v>4</v>
      </c>
    </row>
    <row r="318" spans="1:14" x14ac:dyDescent="0.25">
      <c r="A318" s="15" t="s">
        <v>4</v>
      </c>
      <c r="B318" s="17" t="s">
        <v>182</v>
      </c>
      <c r="C318" t="s">
        <v>354</v>
      </c>
      <c r="D318" t="s">
        <v>358</v>
      </c>
      <c r="E318" t="s">
        <v>4</v>
      </c>
      <c r="F318" s="18">
        <f>=PARAM!$E$12+PARAM!$C$12*ROUND((PARAM!$D$12-2)/2,0)</f>
        <v>21400</v>
      </c>
      <c r="G318">
        <v>650</v>
      </c>
      <c r="H318" s="18">
        <f>=2310-PARAM!$F$6</f>
        <v>-7320</v>
      </c>
      <c r="I318" s="18">
        <f>=PARAM!$H$12-1500</f>
        <v>45400</v>
      </c>
      <c r="J318">
        <v>650</v>
      </c>
      <c r="K318" s="18">
        <f>=2310-PARAM!$F$6</f>
        <v>-7320</v>
      </c>
      <c r="L318" t="s">
        <v>4</v>
      </c>
      <c r="M318" t="s">
        <v>4</v>
      </c>
      <c r="N318" t="s">
        <v>4</v>
      </c>
    </row>
    <row r="319" spans="1:14" x14ac:dyDescent="0.25">
      <c r="A319" s="15" t="s">
        <v>4</v>
      </c>
      <c r="B319" s="17" t="s">
        <v>182</v>
      </c>
      <c r="C319" t="s">
        <v>354</v>
      </c>
      <c r="D319" t="s">
        <v>359</v>
      </c>
      <c r="E319" t="s">
        <v>4</v>
      </c>
      <c r="F319">
        <v>0</v>
      </c>
      <c r="G319">
        <v>-130</v>
      </c>
      <c r="H319">
        <v>0</v>
      </c>
      <c r="I319" s="18">
        <f>=PARAM!$H$13+1200</f>
        <v>-13700</v>
      </c>
      <c r="J319">
        <v>-650</v>
      </c>
      <c r="K319" s="18">
        <f>=1800-PARAM!$F$6</f>
        <v>-7830</v>
      </c>
      <c r="L319">
        <v>150</v>
      </c>
      <c r="M319" t="s">
        <v>4</v>
      </c>
      <c r="N319" t="s">
        <v>4</v>
      </c>
    </row>
    <row r="320" spans="1:14" x14ac:dyDescent="0.25">
      <c r="A320" s="15" t="s">
        <v>4</v>
      </c>
      <c r="B320" s="17" t="s">
        <v>182</v>
      </c>
      <c r="C320" t="s">
        <v>354</v>
      </c>
      <c r="D320" t="s">
        <v>360</v>
      </c>
      <c r="E320" t="s">
        <v>4</v>
      </c>
      <c r="F320">
        <v>0</v>
      </c>
      <c r="G320">
        <v>130</v>
      </c>
      <c r="H320">
        <v>0</v>
      </c>
      <c r="I320" s="18">
        <f>=PARAM!$H$13+1200</f>
        <v>-13700</v>
      </c>
      <c r="J320">
        <v>650</v>
      </c>
      <c r="K320" s="18">
        <f>=1800-PARAM!$F$6</f>
        <v>-7830</v>
      </c>
      <c r="L320">
        <v>150</v>
      </c>
      <c r="M320" t="s">
        <v>4</v>
      </c>
      <c r="N320" t="s">
        <v>4</v>
      </c>
    </row>
    <row r="321" spans="1:12" x14ac:dyDescent="0.25">
      <c r="A321" s="15" t="s">
        <v>4</v>
      </c>
      <c r="B321" s="16" t="s">
        <v>169</v>
      </c>
      <c r="C321" t="s">
        <v>57</v>
      </c>
      <c r="D321" t="s">
        <v>170</v>
      </c>
      <c r="E321" t="s">
        <v>171</v>
      </c>
      <c r="F321" t="s">
        <v>163</v>
      </c>
      <c r="G321" t="s">
        <v>164</v>
      </c>
      <c r="H321" t="s">
        <v>201</v>
      </c>
      <c r="I321" t="s">
        <v>202</v>
      </c>
      <c r="J321" t="s">
        <v>203</v>
      </c>
      <c r="K321" t="s">
        <v>204</v>
      </c>
      <c r="L321" t="s">
        <v>205</v>
      </c>
    </row>
    <row r="322" spans="1:6" x14ac:dyDescent="0.25">
      <c r="A322" s="15" t="s">
        <v>4</v>
      </c>
      <c r="B322" s="17" t="s">
        <v>182</v>
      </c>
      <c r="C322" t="s">
        <v>354</v>
      </c>
      <c r="D322" t="s">
        <v>206</v>
      </c>
      <c r="E322" t="s">
        <v>134</v>
      </c>
      <c r="F322" t="s">
        <v>81</v>
      </c>
    </row>
    <row r="324" spans="1:11" x14ac:dyDescent="0.25">
      <c r="A324" s="15" t="s">
        <v>361</v>
      </c>
      <c r="B324" s="16" t="s">
        <v>362</v>
      </c>
      <c r="C324" t="s">
        <v>57</v>
      </c>
      <c r="D324" t="s">
        <v>363</v>
      </c>
      <c r="E324" t="s">
        <v>364</v>
      </c>
      <c r="F324" t="s">
        <v>365</v>
      </c>
      <c r="G324" t="s">
        <v>366</v>
      </c>
      <c r="H324" t="s">
        <v>367</v>
      </c>
      <c r="I324" t="s">
        <v>368</v>
      </c>
      <c r="J324" t="s">
        <v>369</v>
      </c>
      <c r="K324" t="s">
        <v>370</v>
      </c>
    </row>
    <row r="325" spans="1:8" x14ac:dyDescent="0.25">
      <c r="A325" s="15" t="s">
        <v>4</v>
      </c>
      <c r="B325" s="17" t="s">
        <v>371</v>
      </c>
      <c r="C325" t="s">
        <v>372</v>
      </c>
      <c r="D325" t="s">
        <v>207</v>
      </c>
      <c r="E325" t="s">
        <v>373</v>
      </c>
      <c r="F325">
        <v>0</v>
      </c>
      <c r="G325">
        <v>0</v>
      </c>
      <c r="H325" s="18">
        <f>=PARAM!$E$6</f>
        <v>1000</v>
      </c>
    </row>
    <row r="327" spans="1:8" x14ac:dyDescent="0.25">
      <c r="A327" s="15" t="s">
        <v>4</v>
      </c>
      <c r="B327" s="17" t="s">
        <v>371</v>
      </c>
      <c r="C327" t="s">
        <v>374</v>
      </c>
      <c r="D327" t="s">
        <v>183</v>
      </c>
      <c r="E327" t="s">
        <v>373</v>
      </c>
      <c r="F327">
        <v>-800</v>
      </c>
      <c r="G327">
        <v>-800</v>
      </c>
      <c r="H327" s="18">
        <f>=PARAM!$E$6</f>
        <v>1000</v>
      </c>
    </row>
    <row r="328" spans="1:9" x14ac:dyDescent="0.25">
      <c r="A328" s="15" t="s">
        <v>4</v>
      </c>
      <c r="B328" s="17" t="s">
        <v>371</v>
      </c>
      <c r="C328" t="s">
        <v>374</v>
      </c>
      <c r="D328" t="s">
        <v>374</v>
      </c>
      <c r="E328" t="s">
        <v>375</v>
      </c>
      <c r="F328">
        <v>0</v>
      </c>
      <c r="G328">
        <v>0</v>
      </c>
      <c r="H328" s="18">
        <f>=PARAM!$C$6</f>
        <v>2400</v>
      </c>
      <c r="I328" s="18">
        <f>=PARAM!$D$6-1</f>
        <v>14</v>
      </c>
    </row>
    <row r="330" spans="1:11" x14ac:dyDescent="0.25">
      <c r="A330" s="15" t="s">
        <v>4</v>
      </c>
      <c r="B330" s="17" t="s">
        <v>371</v>
      </c>
      <c r="C330" t="s">
        <v>376</v>
      </c>
      <c r="D330" t="s">
        <v>242</v>
      </c>
      <c r="E330" t="s">
        <v>373</v>
      </c>
      <c r="F330">
        <v>0</v>
      </c>
      <c r="G330">
        <v>0</v>
      </c>
      <c r="H330" s="18">
        <f>=PARAM!$H$6+60</f>
        <v>37060</v>
      </c>
      <c r="I330">
        <v>0</v>
      </c>
      <c r="J330">
        <v>0</v>
      </c>
      <c r="K330" s="18">
        <f>=PARAM!$C$25</f>
        <v>0</v>
      </c>
    </row>
    <row r="331" spans="1:11" x14ac:dyDescent="0.25">
      <c r="A331" s="15" t="s">
        <v>4</v>
      </c>
      <c r="B331" s="17" t="s">
        <v>371</v>
      </c>
      <c r="C331" t="s">
        <v>376</v>
      </c>
      <c r="D331" t="s">
        <v>246</v>
      </c>
      <c r="E331" t="s">
        <v>373</v>
      </c>
      <c r="F331" s="18">
        <f>=(-800)*PARAM!$H$25-(-800)*PARAM!$I$25</f>
        <v>-800</v>
      </c>
      <c r="G331" s="18">
        <f>=(-800)*PARAM!$I$25+(-800)*PARAM!$H$25</f>
        <v>-800</v>
      </c>
      <c r="H331" s="18">
        <f>=PARAM!$H$6+370</f>
        <v>37370</v>
      </c>
      <c r="I331">
        <v>0</v>
      </c>
      <c r="J331">
        <v>0</v>
      </c>
      <c r="K331" s="18">
        <f>=PARAM!$C$25</f>
        <v>0</v>
      </c>
    </row>
    <row r="332" spans="1:11" x14ac:dyDescent="0.25">
      <c r="A332" s="15" t="s">
        <v>4</v>
      </c>
      <c r="B332" s="17" t="s">
        <v>371</v>
      </c>
      <c r="C332" t="s">
        <v>376</v>
      </c>
      <c r="D332" t="s">
        <v>332</v>
      </c>
      <c r="E332" t="s">
        <v>373</v>
      </c>
      <c r="F332" s="18">
        <f>=(2400)*PARAM!$H$25-(0)*PARAM!$I$25</f>
        <v>2400</v>
      </c>
      <c r="G332" s="18">
        <f>=(2400)*PARAM!$I$25+(0)*PARAM!$H$25</f>
        <v>0</v>
      </c>
      <c r="H332" s="18">
        <f>=PARAM!$H$6+330-2270</f>
        <v>35060</v>
      </c>
      <c r="I332">
        <v>0</v>
      </c>
      <c r="J332">
        <v>0</v>
      </c>
      <c r="K332" s="18">
        <f>=PARAM!$C$25</f>
        <v>0</v>
      </c>
    </row>
    <row r="334" spans="1:11" x14ac:dyDescent="0.25">
      <c r="A334" s="15" t="s">
        <v>4</v>
      </c>
      <c r="B334" s="17" t="s">
        <v>371</v>
      </c>
      <c r="C334" t="s">
        <v>377</v>
      </c>
      <c r="D334" t="s">
        <v>289</v>
      </c>
      <c r="E334" t="s">
        <v>373</v>
      </c>
      <c r="F334" s="18">
        <f>=(PARAM!$E$12)*PARAM!$H$25-(0)*PARAM!$I$25</f>
        <v>1900</v>
      </c>
      <c r="G334" s="18">
        <f>=(PARAM!$E$12)*PARAM!$I$25+(0)*PARAM!$H$25</f>
        <v>0</v>
      </c>
      <c r="H334" s="18">
        <f>=PARAM!$J$12</f>
        <v>38140</v>
      </c>
      <c r="I334">
        <v>0</v>
      </c>
      <c r="J334">
        <v>0</v>
      </c>
      <c r="K334" s="18">
        <f>=PARAM!$C$25</f>
        <v>0</v>
      </c>
    </row>
    <row r="335" spans="1:9" x14ac:dyDescent="0.25">
      <c r="A335" s="15" t="s">
        <v>4</v>
      </c>
      <c r="B335" s="17" t="s">
        <v>371</v>
      </c>
      <c r="C335" t="s">
        <v>377</v>
      </c>
      <c r="D335" t="s">
        <v>377</v>
      </c>
      <c r="E335" t="s">
        <v>375</v>
      </c>
      <c r="F335" s="18">
        <f>=(PARAM!$C$12)*PARAM!$H$25-(0)*PARAM!$I$25</f>
        <v>3000</v>
      </c>
      <c r="G335" s="18">
        <f>=(PARAM!$C$12)*PARAM!$I$25+(0)*PARAM!$H$25</f>
        <v>0</v>
      </c>
      <c r="H335">
        <v>0</v>
      </c>
      <c r="I335" s="18">
        <f>=PARAM!$D$12-1</f>
        <v>14</v>
      </c>
    </row>
    <row r="336" spans="1:11" x14ac:dyDescent="0.25">
      <c r="A336" s="15" t="s">
        <v>4</v>
      </c>
      <c r="B336" s="17" t="s">
        <v>371</v>
      </c>
      <c r="C336" t="s">
        <v>377</v>
      </c>
      <c r="D336" t="s">
        <v>296</v>
      </c>
      <c r="E336" t="s">
        <v>373</v>
      </c>
      <c r="F336" s="18">
        <f>=(PARAM!$H$12+90)*PARAM!$H$25-(0)*PARAM!$I$25</f>
        <v>46990</v>
      </c>
      <c r="G336" s="18">
        <f>=(PARAM!$H$12+90)*PARAM!$I$25+(0)*PARAM!$H$25</f>
        <v>0</v>
      </c>
      <c r="H336" s="18">
        <f>=PARAM!$J$12</f>
        <v>38140</v>
      </c>
      <c r="I336">
        <v>0</v>
      </c>
      <c r="J336">
        <v>0</v>
      </c>
      <c r="K336" s="18">
        <f>=PARAM!$C$25</f>
        <v>0</v>
      </c>
    </row>
    <row r="338" spans="1:11" x14ac:dyDescent="0.25">
      <c r="A338" s="15" t="s">
        <v>4</v>
      </c>
      <c r="B338" s="17" t="s">
        <v>371</v>
      </c>
      <c r="C338" t="s">
        <v>378</v>
      </c>
      <c r="D338" t="s">
        <v>297</v>
      </c>
      <c r="E338" t="s">
        <v>373</v>
      </c>
      <c r="F338" s="18">
        <f>=(-PARAM!$E$13)*PARAM!$H$25-(0)*PARAM!$I$25</f>
        <v>-1900</v>
      </c>
      <c r="G338" s="18">
        <f>=(-PARAM!$E$13)*PARAM!$I$25+(0)*PARAM!$H$25</f>
        <v>0</v>
      </c>
      <c r="H338" s="18">
        <f>=PARAM!$J$12</f>
        <v>38140</v>
      </c>
      <c r="I338">
        <v>0</v>
      </c>
      <c r="J338">
        <v>0</v>
      </c>
      <c r="K338" s="18">
        <f>=180+PARAM!$C$25</f>
        <v>180</v>
      </c>
    </row>
    <row r="339" spans="1:9" x14ac:dyDescent="0.25">
      <c r="A339" s="15" t="s">
        <v>4</v>
      </c>
      <c r="B339" s="17" t="s">
        <v>371</v>
      </c>
      <c r="C339" t="s">
        <v>378</v>
      </c>
      <c r="D339" t="s">
        <v>378</v>
      </c>
      <c r="E339" t="s">
        <v>375</v>
      </c>
      <c r="F339" s="18">
        <f>=(-PARAM!$C$13)*PARAM!$H$25-(0)*PARAM!$I$25</f>
        <v>-2600</v>
      </c>
      <c r="G339" s="18">
        <f>=(-PARAM!$C$13)*PARAM!$I$25+(0)*PARAM!$H$25</f>
        <v>0</v>
      </c>
      <c r="H339">
        <v>0</v>
      </c>
      <c r="I339" s="18">
        <f>=PARAM!$D$13-1</f>
        <v>4</v>
      </c>
    </row>
    <row r="340" spans="1:11" x14ac:dyDescent="0.25">
      <c r="A340" s="15" t="s">
        <v>4</v>
      </c>
      <c r="B340" s="17" t="s">
        <v>371</v>
      </c>
      <c r="C340" t="s">
        <v>378</v>
      </c>
      <c r="D340" t="s">
        <v>304</v>
      </c>
      <c r="E340" t="s">
        <v>373</v>
      </c>
      <c r="F340" s="18">
        <f>=((-PARAM!$E$13+PARAM!$H$13)/2+600)*PARAM!$H$25-(0)*PARAM!$I$25</f>
        <v>-7800</v>
      </c>
      <c r="G340" s="18">
        <f>=((-PARAM!$E$13+PARAM!$H$13)/2+600)*PARAM!$I$25+(0)*PARAM!$H$25</f>
        <v>0</v>
      </c>
      <c r="H340" s="18">
        <f>=PARAM!$J$12+1330</f>
        <v>39470</v>
      </c>
      <c r="I340">
        <v>0</v>
      </c>
      <c r="J340">
        <v>0</v>
      </c>
      <c r="K340" s="18">
        <f>=PARAM!$C$25</f>
        <v>0</v>
      </c>
    </row>
    <row r="341" spans="1:11" x14ac:dyDescent="0.25">
      <c r="A341" s="15" t="s">
        <v>4</v>
      </c>
      <c r="B341" s="17" t="s">
        <v>371</v>
      </c>
      <c r="C341" t="s">
        <v>378</v>
      </c>
      <c r="D341" t="s">
        <v>320</v>
      </c>
      <c r="E341" t="s">
        <v>373</v>
      </c>
      <c r="F341" s="18">
        <f>=(PARAM!$H$13+1000)*PARAM!$H$25-(0)*PARAM!$I$25</f>
        <v>-13900</v>
      </c>
      <c r="G341" s="18">
        <f>=(PARAM!$H$13+1000)*PARAM!$I$25+(0)*PARAM!$H$25</f>
        <v>0</v>
      </c>
      <c r="H341" s="18">
        <f>=PARAM!$J$12-1600</f>
        <v>36540</v>
      </c>
      <c r="I341">
        <v>0</v>
      </c>
      <c r="J341">
        <v>0</v>
      </c>
      <c r="K341" s="18">
        <f>=PARAM!$C$25</f>
        <v>0</v>
      </c>
    </row>
    <row r="343" spans="1:11" x14ac:dyDescent="0.25">
      <c r="A343" s="15" t="s">
        <v>4</v>
      </c>
      <c r="B343" s="17" t="s">
        <v>371</v>
      </c>
      <c r="C343" t="s">
        <v>379</v>
      </c>
      <c r="D343" t="s">
        <v>354</v>
      </c>
      <c r="E343" t="s">
        <v>373</v>
      </c>
      <c r="F343">
        <v>0</v>
      </c>
      <c r="G343">
        <v>0</v>
      </c>
      <c r="H343" s="18">
        <f>=PARAM!$I$6+520</f>
        <v>47520</v>
      </c>
      <c r="I343">
        <v>0</v>
      </c>
      <c r="J343">
        <v>0</v>
      </c>
      <c r="K343" s="18">
        <f>=PARAM!$C$25</f>
        <v>0</v>
      </c>
    </row>
    <row r="345" spans="1:11" x14ac:dyDescent="0.25">
      <c r="A345" s="15" t="s">
        <v>4</v>
      </c>
      <c r="B345" s="17" t="s">
        <v>371</v>
      </c>
      <c r="C345" t="s">
        <v>380</v>
      </c>
      <c r="D345" t="s">
        <v>339</v>
      </c>
      <c r="E345" t="s">
        <v>373</v>
      </c>
      <c r="F345" s="18">
        <f>=(MIN(PARAM!$C$19,PARAM!$H$12-1500))*PARAM!$H$25-(0)*PARAM!$I$25</f>
        <v>30000</v>
      </c>
      <c r="G345" s="18">
        <f>=(MIN(PARAM!$C$19,PARAM!$H$12-1500))*PARAM!$I$25+(0)*PARAM!$H$25</f>
        <v>0</v>
      </c>
      <c r="H345" s="18">
        <f>=PARAM!$H$19</f>
        <v>40020</v>
      </c>
      <c r="I345">
        <v>0</v>
      </c>
      <c r="J345">
        <v>0</v>
      </c>
      <c r="K345" s="18">
        <f>=PARAM!$C$25</f>
        <v>0</v>
      </c>
    </row>
    <row r="346" spans="1:11" x14ac:dyDescent="0.25">
      <c r="A346" s="15" t="s">
        <v>4</v>
      </c>
      <c r="B346" s="17" t="s">
        <v>371</v>
      </c>
      <c r="C346" t="s">
        <v>380</v>
      </c>
      <c r="D346" t="s">
        <v>344</v>
      </c>
      <c r="E346" t="s">
        <v>373</v>
      </c>
      <c r="F346" s="18">
        <f>=(MIN(PARAM!$C$19,PARAM!$H$12-1500))*PARAM!$H$25-(0)*PARAM!$I$25</f>
        <v>30000</v>
      </c>
      <c r="G346" s="18">
        <f>=(MIN(PARAM!$C$19,PARAM!$H$12-1500))*PARAM!$I$25+(0)*PARAM!$H$25</f>
        <v>0</v>
      </c>
      <c r="H346" s="18">
        <f>=PARAM!$I$19</f>
        <v>14000</v>
      </c>
      <c r="I346">
        <v>0</v>
      </c>
      <c r="J346">
        <v>0</v>
      </c>
      <c r="K346" s="18">
        <f>=PARAM!$C$25</f>
        <v>0</v>
      </c>
    </row>
    <row r="347" spans="1:2" x14ac:dyDescent="0.25">
      <c r="A347" s="15" t="s">
        <v>4</v>
      </c>
      <c r="B347" s="17" t="s">
        <v>381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PARAM</vt:lpstr>
      <vt:lpstr>input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PLATE3D</dc:creator>
  <dc:title/>
  <dc:subject/>
  <dc:description/>
  <cp:keywords/>
  <cp:category/>
  <cp:lastModifiedBy>Unknown</cp:lastModifiedBy>
  <dcterms:created xsi:type="dcterms:W3CDTF">2026-08-20T23:53:23Z</dcterms:created>
  <dcterms:modified xsi:type="dcterms:W3CDTF">2026-08-20T23:53:23Z</dcterms:modified>
</cp:coreProperties>
</file>