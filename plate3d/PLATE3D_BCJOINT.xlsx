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" state="visible" r:id="rId4"/>
    <sheet sheetId="2" name="input" state="visible" r:id="rId5"/>
    <sheet sheetId="3" name="SECT" state="visible" r:id="rId6"/>
    <sheet sheetId="4" name="ANGLE" state="visible" r:id="rId7"/>
  </sheets>
  <calcPr calcId="171027"/>
</workbook>
</file>

<file path=xl/sharedStrings.xml><?xml version="1.0" encoding="utf-8"?>
<sst xmlns="http://schemas.openxmlformats.org/spreadsheetml/2006/main" count="311" uniqueCount="226">
  <si>
    <t>BEAM TO COLUMN</t>
  </si>
  <si>
    <t>Double angle cleat, bolted both sides. Fill in the blue cells — the input tab is written from this one and nothing on it needs touching.</t>
  </si>
  <si>
    <t xml:space="preserve">  1.  MEMBERS</t>
  </si>
  <si>
    <t>section, length, the gap to the column face, and the steel grade</t>
  </si>
  <si>
    <t>Section</t>
  </si>
  <si>
    <t>h</t>
  </si>
  <si>
    <t>b</t>
  </si>
  <si>
    <t>tw</t>
  </si>
  <si>
    <t>tf</t>
  </si>
  <si>
    <t>r</t>
  </si>
  <si>
    <t>kg/m</t>
  </si>
  <si>
    <t>Length</t>
  </si>
  <si>
    <t>Column</t>
  </si>
  <si>
    <t>H-300x300x10x15 r18</t>
  </si>
  <si>
    <t>Beam</t>
  </si>
  <si>
    <t>H-300x150x6.5x9 r13</t>
  </si>
  <si>
    <t>Gap</t>
  </si>
  <si>
    <t>beam end to column face</t>
  </si>
  <si>
    <t>Steel</t>
  </si>
  <si>
    <t>SS275</t>
  </si>
  <si>
    <t>all three sections — the bolts carry their own grade</t>
  </si>
  <si>
    <t>The input tab turns the column 90° so its flanges face the beam. A square column cannot show that in a bounding box.</t>
  </si>
  <si>
    <t>checked for you</t>
  </si>
  <si>
    <t>gap</t>
  </si>
  <si>
    <t>face X</t>
  </si>
  <si>
    <t xml:space="preserve">  2.  CLEAT</t>
  </si>
  <si>
    <t>two of them, one either side of the beam web - pick the angle and the end distance</t>
  </si>
  <si>
    <t>Angle</t>
  </si>
  <si>
    <t>a</t>
  </si>
  <si>
    <t>t</t>
  </si>
  <si>
    <t>r1</t>
  </si>
  <si>
    <t>r2</t>
  </si>
  <si>
    <t>End</t>
  </si>
  <si>
    <t>L-65x65x8 r8.5/6</t>
  </si>
  <si>
    <t>End is the outer bolt to the end of the cleat, so Length = pitch × (count − 1) + 2 × End. A Length cannot be typed short.</t>
  </si>
  <si>
    <t>in the web</t>
  </si>
  <si>
    <t>on flange</t>
  </si>
  <si>
    <t>fillet</t>
  </si>
  <si>
    <t>beam end</t>
  </si>
  <si>
    <t xml:space="preserve">  3.  BOLTS</t>
  </si>
  <si>
    <t>one group - the same bolt size holds the cleat to the column and to the beam</t>
  </si>
  <si>
    <t>Grade</t>
  </si>
  <si>
    <t>Dia</t>
  </si>
  <si>
    <t>Hole</t>
  </si>
  <si>
    <t>Pitch</t>
  </si>
  <si>
    <t>Count</t>
  </si>
  <si>
    <t>Gauge</t>
  </si>
  <si>
    <t>Bolt</t>
  </si>
  <si>
    <t>F10T</t>
  </si>
  <si>
    <t>grip column</t>
  </si>
  <si>
    <t>grip beam</t>
  </si>
  <si>
    <t>nut</t>
  </si>
  <si>
    <t>needed</t>
  </si>
  <si>
    <t>LENGTH</t>
  </si>
  <si>
    <t>proj col</t>
  </si>
  <si>
    <t>proj beam</t>
  </si>
  <si>
    <t>Lengths</t>
  </si>
  <si>
    <t>One LENGTH for both groups, rounded up to 5; proj takes up what the grip leaves. That is what keeps the take-off to one line.</t>
  </si>
  <si>
    <t>pitch</t>
  </si>
  <si>
    <t>end</t>
  </si>
  <si>
    <t>edge</t>
  </si>
  <si>
    <t>length</t>
  </si>
  <si>
    <t>Written from PARAM. Nothing here needs editing — change the front sheet instead.</t>
  </si>
  <si>
    <t>COORD</t>
  </si>
  <si>
    <t>ZUP</t>
  </si>
  <si>
    <t/>
  </si>
  <si>
    <t>SECT  id  material  length  TYPE  base.pt  v1..v7</t>
  </si>
  <si>
    <t>column</t>
  </si>
  <si>
    <t>SECT</t>
  </si>
  <si>
    <t>sc.col</t>
  </si>
  <si>
    <t>H</t>
  </si>
  <si>
    <t>mc</t>
  </si>
  <si>
    <t>beam</t>
  </si>
  <si>
    <t>sc.bm</t>
  </si>
  <si>
    <t>cleat, x2 — the L is the whole reason there is no CUT row here</t>
  </si>
  <si>
    <t>sc.cl</t>
  </si>
  <si>
    <t>L</t>
  </si>
  <si>
    <t>BOLT  id  material  dia  length  hole  [head_af]  [head_h]  [nut_af]  nut_h  proj</t>
  </si>
  <si>
    <t>The point on the MODULE row is the underside of the head. Both bolts are the same length, and proj — the thread past the nut — takes up whatever the grip leaves, so the take-off carries one line and not two.</t>
  </si>
  <si>
    <t>through the column flange and one cleat leg</t>
  </si>
  <si>
    <t>BOLT</t>
  </si>
  <si>
    <t>bo.c</t>
  </si>
  <si>
    <t>through cleat, beam web and cleat</t>
  </si>
  <si>
    <t>bo.b</t>
  </si>
  <si>
    <t>MODULE  id  member  Ref.Pt  L.X  L.Y  L.Z  PLANE  [ROT.X ROT.Y ROT.Z]  [dx dy dz repeat]</t>
  </si>
  <si>
    <t>Every module starts at its own origin and the ASSY rows below place it. A section held by BASE is held at the centre of its starting face, so writing a world coordinate here as well would drag the member back.</t>
  </si>
  <si>
    <t>ROT.Z 90 turns the column so its FLANGES face the beam</t>
  </si>
  <si>
    <t>MODULE</t>
  </si>
  <si>
    <t>md.col</t>
  </si>
  <si>
    <t>XY</t>
  </si>
  <si>
    <t>BASE</t>
  </si>
  <si>
    <t>md.bm</t>
  </si>
  <si>
    <t>YZ</t>
  </si>
  <si>
    <t>the cleat, and the bolts that hold it to the column</t>
  </si>
  <si>
    <t>md.cl</t>
  </si>
  <si>
    <t>the head stands off behind the flange, and the shank runs through flange and leg</t>
  </si>
  <si>
    <t>md.bb</t>
  </si>
  <si>
    <t>XZ</t>
  </si>
  <si>
    <t>bo.b_1</t>
  </si>
  <si>
    <t>ASSY  id  ref  cmd  p1 p2 p3 p4</t>
  </si>
  <si>
    <t>ASSY</t>
  </si>
  <si>
    <t>as.j</t>
  </si>
  <si>
    <t>ADD</t>
  </si>
  <si>
    <t>the beam starts one gap clear of the column face</t>
  </si>
  <si>
    <t>the L is held on its bbox centre, so the heel lands on the flange face and the web</t>
  </si>
  <si>
    <t>as.cl</t>
  </si>
  <si>
    <t>the other cleat</t>
  </si>
  <si>
    <t>as.clm</t>
  </si>
  <si>
    <t>MIR</t>
  </si>
  <si>
    <t>VIEW</t>
  </si>
  <si>
    <t>ISO</t>
  </si>
  <si>
    <t>BCJOINT - ISOMETRIC</t>
  </si>
  <si>
    <t>PLOT</t>
  </si>
  <si>
    <t>PART</t>
  </si>
  <si>
    <t>ALL</t>
  </si>
  <si>
    <t>PLATES</t>
  </si>
  <si>
    <t>SECTIONS</t>
  </si>
  <si>
    <t>END</t>
  </si>
  <si>
    <t>H-100x100x6x8 r10</t>
  </si>
  <si>
    <t>H-125x125x6.5x9 r10</t>
  </si>
  <si>
    <t>H-150x75x5x7 r8</t>
  </si>
  <si>
    <t>H-148x100x6x9 r11</t>
  </si>
  <si>
    <t>H-150x150x7x10 r11</t>
  </si>
  <si>
    <t>H-198x99x4.5x7 r11</t>
  </si>
  <si>
    <t>H-200x100x5.5x8 r11</t>
  </si>
  <si>
    <t>H-194x150x6x9 r13</t>
  </si>
  <si>
    <t>H-200x200x8x12 r13</t>
  </si>
  <si>
    <t>H-200x204x12x12 r13</t>
  </si>
  <si>
    <t>H-248x124x5x8 r12</t>
  </si>
  <si>
    <t>H-250x125x6x9 r12</t>
  </si>
  <si>
    <t>H-244x175x7x11 r16</t>
  </si>
  <si>
    <t>H-250x250x9x14 r16</t>
  </si>
  <si>
    <t>H-250x255x14x14 r16</t>
  </si>
  <si>
    <t>H-298x149x5.5x8 r13</t>
  </si>
  <si>
    <t>H-294x200x8x12 r18</t>
  </si>
  <si>
    <t>H-294x302x12x12 r18</t>
  </si>
  <si>
    <t>H-300x305x15x15 r18</t>
  </si>
  <si>
    <t>H-346x174x6x9 r14</t>
  </si>
  <si>
    <t>H-350x175x7x11 r14</t>
  </si>
  <si>
    <t>H-340x250x9x14 r20</t>
  </si>
  <si>
    <t>H-344x348x10x16 r20</t>
  </si>
  <si>
    <t>H-350x350x12x19 r20</t>
  </si>
  <si>
    <t>H-396x199x7x11 r16</t>
  </si>
  <si>
    <t>H-400x200x8x13 r16</t>
  </si>
  <si>
    <t>H-390x300x10x16 r22</t>
  </si>
  <si>
    <t>H-388x402x15x15 r22</t>
  </si>
  <si>
    <t>H-394x398x11x18 r22</t>
  </si>
  <si>
    <t>H-400x400x13x21 r22</t>
  </si>
  <si>
    <t>H-400x408x21x21 r22</t>
  </si>
  <si>
    <t>H-414x405x18x28 r22</t>
  </si>
  <si>
    <t>H-428x407x20x35 r22</t>
  </si>
  <si>
    <t>H-458x417x30x50 r22</t>
  </si>
  <si>
    <t>H-498x432x45x70 r22</t>
  </si>
  <si>
    <t>H-446x199x8x12 r18</t>
  </si>
  <si>
    <t>H-450x200x9x14 r18</t>
  </si>
  <si>
    <t>H-440x300x11x18 r24</t>
  </si>
  <si>
    <t>H-440x300x11x18 r13</t>
  </si>
  <si>
    <t>H-496x199x9x14 r13</t>
  </si>
  <si>
    <t>H-500x200x10x16 r13</t>
  </si>
  <si>
    <t>H-482x300x11x15 r13</t>
  </si>
  <si>
    <t>H-488x300x11x18 r13</t>
  </si>
  <si>
    <t>H-596x199x10x15 r13</t>
  </si>
  <si>
    <t>H-600x200x11x17 r13</t>
  </si>
  <si>
    <t>H-582x300x12x17 r13</t>
  </si>
  <si>
    <t>H-588x300x12x20 r13</t>
  </si>
  <si>
    <t>H-594x302x14x23 r13</t>
  </si>
  <si>
    <t>H-692x300x13x20 r18</t>
  </si>
  <si>
    <t>H-700x300x13x24 r18</t>
  </si>
  <si>
    <t>H-792x300x14x22 r18</t>
  </si>
  <si>
    <t>H-800x300x14x26 r18</t>
  </si>
  <si>
    <t>H-890x299x15x23 r18</t>
  </si>
  <si>
    <t>H-900x300x16x28 r18</t>
  </si>
  <si>
    <t>H-912x302x18x34 r18</t>
  </si>
  <si>
    <t>H-918x303x19x37 r18</t>
  </si>
  <si>
    <t>L-25x25x3 r4/2</t>
  </si>
  <si>
    <t>L-30x30x3 r4/2</t>
  </si>
  <si>
    <t>L-40x40x3 r4.5/2</t>
  </si>
  <si>
    <t>L-40x40x5 r4.5/3</t>
  </si>
  <si>
    <t>L-45x45x4 r6.5/3</t>
  </si>
  <si>
    <t>L-45x45x5 r6.5/3</t>
  </si>
  <si>
    <t>L-50x50x4 r6.5/3</t>
  </si>
  <si>
    <t>L-50x50x5 r6.5/3</t>
  </si>
  <si>
    <t>L-50x50x6 r6.5/4.5</t>
  </si>
  <si>
    <t>L-60x60x4 r6.5/3</t>
  </si>
  <si>
    <t>L-60x60x5 r6.5/3</t>
  </si>
  <si>
    <t>L-65x65x5 r8.5/3</t>
  </si>
  <si>
    <t>L-65x65x6 r8.5/4</t>
  </si>
  <si>
    <t>L-70x70x6 r8.5/4</t>
  </si>
  <si>
    <t>L-75x75x6 r8.5/4</t>
  </si>
  <si>
    <t>L-75x75x9 r8.5/6</t>
  </si>
  <si>
    <t>L-75x75x12 r8.5/6</t>
  </si>
  <si>
    <t>L-80x80x6 r8.5/4</t>
  </si>
  <si>
    <t>L-90x90x6 r10/5</t>
  </si>
  <si>
    <t>L-90x90x7 r10/5</t>
  </si>
  <si>
    <t>L-90x90x10 r10/7</t>
  </si>
  <si>
    <t>L-90x90x13 r10/7</t>
  </si>
  <si>
    <t>L-100x100x7 r10/5</t>
  </si>
  <si>
    <t>L-100x100x10 r10/7</t>
  </si>
  <si>
    <t>L-100x100x13 r10/7</t>
  </si>
  <si>
    <t>L-120x120x8 r12/5</t>
  </si>
  <si>
    <t>L-130x130x9 r12/6</t>
  </si>
  <si>
    <t>L-130x130x12 r12/8.5</t>
  </si>
  <si>
    <t>L-130x130x15 r12/8.5</t>
  </si>
  <si>
    <t>L-150x150x12 r14/7</t>
  </si>
  <si>
    <t>L-150x150x15 r14/10</t>
  </si>
  <si>
    <t>L-150x150x19 r14/10</t>
  </si>
  <si>
    <t>L-175x175x12 r15/11</t>
  </si>
  <si>
    <t>L-175x175x15 r15/11</t>
  </si>
  <si>
    <t>L-200x200x15 r17/12</t>
  </si>
  <si>
    <t>L-200x200x20 r17/12</t>
  </si>
  <si>
    <t>L-200x200x25 r17/12</t>
  </si>
  <si>
    <t>L-250x250x25 r24/12</t>
  </si>
  <si>
    <t>L-250x250x35 r24/18</t>
  </si>
  <si>
    <t>L-50x30x3 r6/2</t>
  </si>
  <si>
    <t>L-90x75x9 r8.5/6</t>
  </si>
  <si>
    <t>L-100x75x7 r10/5</t>
  </si>
  <si>
    <t>L-100x75x10 r10/7</t>
  </si>
  <si>
    <t>L-125x75x7 r10/5</t>
  </si>
  <si>
    <t>L-125x75x13 r10/7</t>
  </si>
  <si>
    <t>L-125x90x10 r10/7</t>
  </si>
  <si>
    <t>L-125x90x13 r10/7</t>
  </si>
  <si>
    <t>L-150x90x9 r12/6</t>
  </si>
  <si>
    <t>L-150x90x12 r12/8.5</t>
  </si>
  <si>
    <t>L-150x100x9 r12/6</t>
  </si>
  <si>
    <t>L-150x100x12 r12/8.5</t>
  </si>
  <si>
    <t>L-150x100x15 r12/8.5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</si>
</sst>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"/>
    <numFmt numFmtId="165" formatCode="0.0"/>
  </numFmts>
  <fonts count="14" x14ac:knownFonts="1">
    <font>
      <color theme="1"/>
      <family val="2"/>
      <scheme val="minor"/>
      <sz val="11"/>
      <name val="Calibri"/>
    </font>
    <font>
      <b/>
      <color rgb="FF0F172A"/>
      <sz val="18"/>
      <name val="Arial"/>
    </font>
    <font>
      <color rgb="FF64748B"/>
      <sz val="10"/>
      <name val="Arial"/>
    </font>
    <font>
      <b/>
      <color rgb="FFFFFFFF"/>
      <sz val="12"/>
      <name val="Arial"/>
    </font>
    <font>
      <color rgb="FFFFFFFF"/>
      <sz val="9"/>
      <name val="Arial"/>
    </font>
    <font>
      <b/>
      <color rgb="FF64748B"/>
      <sz val="9"/>
      <name val="Arial"/>
    </font>
    <font>
      <b/>
      <color rgb="FF0F172A"/>
      <sz val="10"/>
      <name val="Arial"/>
    </font>
    <font>
      <b/>
      <color rgb="FF1D4ED8"/>
      <sz val="10"/>
      <name val="Arial"/>
    </font>
    <font>
      <i/>
      <color rgb="FF64748B"/>
      <sz val="9"/>
      <name val="Arial"/>
    </font>
    <font>
      <b/>
      <color rgb="FFB45309"/>
      <sz val="9"/>
      <name val="Arial"/>
    </font>
    <font>
      <color rgb="FF64748B"/>
      <sz val="9"/>
      <name val="Arial"/>
    </font>
    <font>
      <color rgb="FF0F172A"/>
      <sz val="10"/>
      <name val="Arial"/>
    </font>
    <font>
      <b/>
      <color rgb="FFFFFFFF"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FF6F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5"/>
  <sheetViews>
    <sheetView workbookViewId="0" showGridLines="0" zoomScale="100" zoomScaleNormal="100"/>
  </sheetViews>
  <sheetFormatPr defaultRowHeight="15" outlineLevelRow="0" outlineLevelCol="0" x14ac:dyDescent="55"/>
  <cols>
    <col min="1" max="1" width="3" customWidth="1"/>
    <col min="2" max="3" width="24" customWidth="1"/>
    <col min="9" max="10" width="10" customWidth="1"/>
    <col min="11" max="11" width="11" customWidth="1"/>
    <col min="12" max="12" width="3" customWidth="1"/>
  </cols>
  <sheetData>
    <row r="1" ht="26" customHeight="1" spans="2:2" x14ac:dyDescent="0.25">
      <c r="B1" s="1" t="s">
        <v>0</v>
      </c>
    </row>
    <row r="2" spans="2:2" x14ac:dyDescent="0.25">
      <c r="B2" s="2" t="s">
        <v>1</v>
      </c>
    </row>
    <row r="4" ht="20" customHeight="1" spans="2:11" x14ac:dyDescent="0.25">
      <c r="B4" s="3" t="s">
        <v>2</v>
      </c>
      <c r="C4" s="4" t="s">
        <v>3</v>
      </c>
      <c r="D4" s="4"/>
      <c r="E4" s="4"/>
      <c r="F4" s="4"/>
      <c r="G4" s="4"/>
      <c r="H4" s="4"/>
      <c r="I4" s="4"/>
      <c r="J4" s="4"/>
      <c r="K4" s="4"/>
    </row>
    <row r="5" spans="3:10" x14ac:dyDescent="0.25"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</row>
    <row r="6" spans="2:10" x14ac:dyDescent="0.25">
      <c r="B6" s="6" t="s">
        <v>12</v>
      </c>
      <c r="C6" s="7" t="s">
        <v>13</v>
      </c>
      <c r="D6" s="8">
        <f>IFERROR(VLOOKUP($C$6,SECT!$A:$G,2,FALSE),"")</f>
        <v>300</v>
      </c>
      <c r="E6" s="8">
        <f>IFERROR(VLOOKUP($C$6,SECT!$A:$G,3,FALSE),"")</f>
        <v>300</v>
      </c>
      <c r="F6" s="8">
        <f>IFERROR(VLOOKUP($C$6,SECT!$A:$G,4,FALSE),"")</f>
        <v>10</v>
      </c>
      <c r="G6" s="8">
        <f>IFERROR(VLOOKUP($C$6,SECT!$A:$G,5,FALSE),"")</f>
        <v>15</v>
      </c>
      <c r="H6" s="8">
        <f>IFERROR(VLOOKUP($C$6,SECT!$A:$G,6,FALSE),"")</f>
        <v>18</v>
      </c>
      <c r="I6" s="9">
        <f>IFERROR(VLOOKUP($C$6,SECT!$A:$G,7,FALSE),"")</f>
        <v>94</v>
      </c>
      <c r="J6" s="7">
        <v>1600</v>
      </c>
    </row>
    <row r="7" spans="2:10" x14ac:dyDescent="0.25">
      <c r="B7" s="6" t="s">
        <v>14</v>
      </c>
      <c r="C7" s="7" t="s">
        <v>15</v>
      </c>
      <c r="D7" s="8">
        <f>IFERROR(VLOOKUP($C$7,SECT!$A:$G,2,FALSE),"")</f>
        <v>300</v>
      </c>
      <c r="E7" s="8">
        <f>IFERROR(VLOOKUP($C$7,SECT!$A:$G,3,FALSE),"")</f>
        <v>150</v>
      </c>
      <c r="F7" s="8">
        <f>IFERROR(VLOOKUP($C$7,SECT!$A:$G,4,FALSE),"")</f>
        <v>6.5</v>
      </c>
      <c r="G7" s="8">
        <f>IFERROR(VLOOKUP($C$7,SECT!$A:$G,5,FALSE),"")</f>
        <v>9</v>
      </c>
      <c r="H7" s="8">
        <f>IFERROR(VLOOKUP($C$7,SECT!$A:$G,6,FALSE),"")</f>
        <v>13</v>
      </c>
      <c r="I7" s="9">
        <f>IFERROR(VLOOKUP($C$7,SECT!$A:$G,7,FALSE),"")</f>
        <v>36.7</v>
      </c>
      <c r="J7" s="7">
        <v>900</v>
      </c>
    </row>
    <row r="8" spans="2:4" x14ac:dyDescent="0.25">
      <c r="B8" s="6" t="s">
        <v>16</v>
      </c>
      <c r="C8" s="7">
        <v>10</v>
      </c>
      <c r="D8" s="10" t="s">
        <v>17</v>
      </c>
    </row>
    <row r="9" spans="2:4" x14ac:dyDescent="0.25">
      <c r="B9" s="6" t="s">
        <v>18</v>
      </c>
      <c r="C9" s="7" t="s">
        <v>19</v>
      </c>
      <c r="D9" s="10" t="s">
        <v>20</v>
      </c>
    </row>
    <row r="10" spans="2:11" x14ac:dyDescent="0.25">
      <c r="B10" s="10" t="s">
        <v>21</v>
      </c>
      <c r="C10" s="10"/>
      <c r="D10" s="10"/>
      <c r="E10" s="10"/>
      <c r="F10" s="10"/>
      <c r="G10" s="10"/>
      <c r="H10" s="10"/>
      <c r="I10" s="10"/>
      <c r="J10" s="10"/>
      <c r="K10" s="10"/>
    </row>
    <row r="11" spans="2:6" x14ac:dyDescent="0.25">
      <c r="B11" s="11" t="s">
        <v>22</v>
      </c>
      <c r="C11" s="12" t="s">
        <v>23</v>
      </c>
      <c r="D11" s="11" t="str">
        <f>IF(PARAM!$C$8&gt;0,PARAM!$C$8&amp;" ok","must be &gt; 0")</f>
        <v>10 ok</v>
      </c>
      <c r="E11" s="12" t="s">
        <v>24</v>
      </c>
      <c r="F11" s="11">
        <f>PARAM!$D$6/2</f>
        <v>150</v>
      </c>
    </row>
    <row r="13" ht="20" customHeight="1" spans="2:11" x14ac:dyDescent="0.25">
      <c r="B13" s="3" t="s">
        <v>25</v>
      </c>
      <c r="C13" s="4" t="s">
        <v>26</v>
      </c>
      <c r="D13" s="4"/>
      <c r="E13" s="4"/>
      <c r="F13" s="4"/>
      <c r="G13" s="4"/>
      <c r="H13" s="4"/>
      <c r="I13" s="4"/>
      <c r="J13" s="4"/>
      <c r="K13" s="4"/>
    </row>
    <row r="14" spans="3:11" x14ac:dyDescent="0.25">
      <c r="C14" s="5" t="s">
        <v>27</v>
      </c>
      <c r="D14" s="5" t="s">
        <v>28</v>
      </c>
      <c r="E14" s="5" t="s">
        <v>6</v>
      </c>
      <c r="F14" s="5" t="s">
        <v>29</v>
      </c>
      <c r="G14" s="5" t="s">
        <v>30</v>
      </c>
      <c r="H14" s="5" t="s">
        <v>31</v>
      </c>
      <c r="I14" s="5" t="s">
        <v>10</v>
      </c>
      <c r="J14" s="5" t="s">
        <v>32</v>
      </c>
      <c r="K14" s="5" t="s">
        <v>11</v>
      </c>
    </row>
    <row r="15" spans="2:11" x14ac:dyDescent="0.25">
      <c r="B15" s="6" t="s">
        <v>27</v>
      </c>
      <c r="C15" s="7" t="s">
        <v>33</v>
      </c>
      <c r="D15" s="8">
        <f>IFERROR(VLOOKUP($C$15,ANGLE!$A:$G,2,FALSE),"")</f>
        <v>65</v>
      </c>
      <c r="E15" s="8">
        <f>IFERROR(VLOOKUP($C$15,ANGLE!$A:$G,3,FALSE),"")</f>
        <v>65</v>
      </c>
      <c r="F15" s="8">
        <f>IFERROR(VLOOKUP($C$15,ANGLE!$A:$G,4,FALSE),"")</f>
        <v>8</v>
      </c>
      <c r="G15" s="8">
        <f>IFERROR(VLOOKUP($C$15,ANGLE!$A:$G,5,FALSE),"")</f>
        <v>8.5</v>
      </c>
      <c r="H15" s="8">
        <f>IFERROR(VLOOKUP($C$15,ANGLE!$A:$G,6,FALSE),"")</f>
        <v>6</v>
      </c>
      <c r="I15" s="9">
        <f>IFERROR(VLOOKUP($C$15,ANGLE!$A:$G,7,FALSE),"")</f>
        <v>7.66</v>
      </c>
      <c r="J15" s="7">
        <v>30</v>
      </c>
      <c r="K15" s="8">
        <f>PARAM!$F$21*(PARAM!$G$21-1)+2*PARAM!$J$15</f>
        <v>140</v>
      </c>
    </row>
    <row r="16" spans="2:11" x14ac:dyDescent="0.25">
      <c r="B16" s="10" t="s">
        <v>34</v>
      </c>
      <c r="C16" s="10"/>
      <c r="D16" s="10"/>
      <c r="E16" s="10"/>
      <c r="F16" s="10"/>
      <c r="G16" s="10"/>
      <c r="H16" s="10"/>
      <c r="I16" s="10"/>
      <c r="J16" s="10"/>
      <c r="K16" s="10"/>
    </row>
    <row r="17" spans="2:10" x14ac:dyDescent="0.25">
      <c r="B17" s="11" t="s">
        <v>22</v>
      </c>
      <c r="C17" s="12" t="s">
        <v>35</v>
      </c>
      <c r="D17" s="11" t="str">
        <f>IF(PARAM!$K$15&lt;=PARAM!$D$7-2*PARAM!$G$7-2*PARAM!$H$7,PARAM!$K$15&amp;" ≤ "&amp;(PARAM!$D$7-2*PARAM!$G$7-2*PARAM!$H$7),"too long for the web")</f>
        <v>140 ≤ 256</v>
      </c>
      <c r="E17" s="12" t="s">
        <v>36</v>
      </c>
      <c r="F17" s="11" t="str">
        <f>IF(PARAM!$F$7/2+PARAM!$E$15&lt;=PARAM!$E$6/2,ROUND(PARAM!$F$7/2+PARAM!$E$15,0)&amp;" ≤ "&amp;(PARAM!$E$6/2),"too wide")</f>
        <v>68 ≤ 150</v>
      </c>
      <c r="G17" s="12" t="s">
        <v>37</v>
      </c>
      <c r="H17" s="11" t="str">
        <f>IF(PARAM!$H$21&gt;=PARAM!$F$15+PARAM!$G$15,PARAM!$H$21&amp;" ≥ "&amp;(PARAM!$F$15+PARAM!$G$15),"in the fillet")</f>
        <v>35 ≥ 16.5</v>
      </c>
      <c r="I17" s="12" t="s">
        <v>38</v>
      </c>
      <c r="J17" s="11" t="str">
        <f>IF(PARAM!$H$21-PARAM!$C$8&gt;=1.5*PARAM!$D$21,(PARAM!$H$21-PARAM!$C$8)&amp;" ≥ "&amp;(1.5*PARAM!$D$21),"too near")</f>
        <v>25 ≥ 24</v>
      </c>
    </row>
    <row r="19" ht="20" customHeight="1" spans="2:11" x14ac:dyDescent="0.25">
      <c r="B19" s="3" t="s">
        <v>39</v>
      </c>
      <c r="C19" s="4" t="s">
        <v>40</v>
      </c>
      <c r="D19" s="4"/>
      <c r="E19" s="4"/>
      <c r="F19" s="4"/>
      <c r="G19" s="4"/>
      <c r="H19" s="4"/>
      <c r="I19" s="4"/>
      <c r="J19" s="4"/>
      <c r="K19" s="4"/>
    </row>
    <row r="20" spans="3:8" x14ac:dyDescent="0.25">
      <c r="C20" s="5" t="s">
        <v>41</v>
      </c>
      <c r="D20" s="5" t="s">
        <v>42</v>
      </c>
      <c r="E20" s="5" t="s">
        <v>43</v>
      </c>
      <c r="F20" s="5" t="s">
        <v>44</v>
      </c>
      <c r="G20" s="5" t="s">
        <v>45</v>
      </c>
      <c r="H20" s="5" t="s">
        <v>46</v>
      </c>
    </row>
    <row r="21" spans="2:8" x14ac:dyDescent="0.25">
      <c r="B21" s="6" t="s">
        <v>47</v>
      </c>
      <c r="C21" s="7" t="s">
        <v>48</v>
      </c>
      <c r="D21" s="7">
        <v>16</v>
      </c>
      <c r="E21" s="8">
        <f>PARAM!$D$21+2</f>
        <v>18</v>
      </c>
      <c r="F21" s="7">
        <v>40</v>
      </c>
      <c r="G21" s="7">
        <v>3</v>
      </c>
      <c r="H21" s="7">
        <v>35</v>
      </c>
    </row>
    <row r="22" spans="3:9" x14ac:dyDescent="0.25">
      <c r="C22" s="5" t="s">
        <v>49</v>
      </c>
      <c r="D22" s="5" t="s">
        <v>50</v>
      </c>
      <c r="E22" s="5" t="s">
        <v>51</v>
      </c>
      <c r="F22" s="5" t="s">
        <v>52</v>
      </c>
      <c r="G22" s="5" t="s">
        <v>53</v>
      </c>
      <c r="H22" s="5" t="s">
        <v>54</v>
      </c>
      <c r="I22" s="5" t="s">
        <v>55</v>
      </c>
    </row>
    <row r="23" spans="2:9" x14ac:dyDescent="0.25">
      <c r="B23" s="6" t="s">
        <v>56</v>
      </c>
      <c r="C23" s="8">
        <f>PARAM!$F$15+PARAM!$G$6</f>
        <v>23</v>
      </c>
      <c r="D23" s="8">
        <f>2*PARAM!$F$15+PARAM!$F$7</f>
        <v>22.5</v>
      </c>
      <c r="E23" s="8">
        <f>0.9*PARAM!$D$21</f>
        <v>14.4</v>
      </c>
      <c r="F23" s="8">
        <f>MAX(PARAM!$C$23,PARAM!$D$23)+PARAM!$E$23+0.2*PARAM!$D$21</f>
        <v>40.6</v>
      </c>
      <c r="G23" s="13">
        <f>CEILING(PARAM!$F$23,5)</f>
        <v>45</v>
      </c>
      <c r="H23" s="8">
        <f>PARAM!$G$23-PARAM!$C$23-PARAM!$E$23</f>
        <v>7.6</v>
      </c>
      <c r="I23" s="8">
        <f>PARAM!$G$23-PARAM!$D$23-PARAM!$E$23</f>
        <v>8.1</v>
      </c>
    </row>
    <row r="24" spans="2:11" x14ac:dyDescent="0.25">
      <c r="B24" s="10" t="s">
        <v>57</v>
      </c>
      <c r="C24" s="10"/>
      <c r="D24" s="10"/>
      <c r="E24" s="10"/>
      <c r="F24" s="10"/>
      <c r="G24" s="10"/>
      <c r="H24" s="10"/>
      <c r="I24" s="10"/>
      <c r="J24" s="10"/>
      <c r="K24" s="10"/>
    </row>
    <row r="25" spans="2:10" x14ac:dyDescent="0.25">
      <c r="B25" s="11" t="s">
        <v>22</v>
      </c>
      <c r="C25" s="12" t="s">
        <v>58</v>
      </c>
      <c r="D25" s="11" t="str">
        <f>IF(PARAM!$F$21&gt;=2.5*PARAM!$D$21,PARAM!$F$21&amp;" ≥ "&amp;(2.5*PARAM!$D$21),"under 2.5d")</f>
        <v>40 ≥ 40</v>
      </c>
      <c r="E25" s="12" t="s">
        <v>59</v>
      </c>
      <c r="F25" s="11" t="str">
        <f>IF(PARAM!$J$15&gt;=1.5*PARAM!$D$21,PARAM!$J$15&amp;" ≥ "&amp;(1.5*PARAM!$D$21),"under 1.5d")</f>
        <v>30 ≥ 24</v>
      </c>
      <c r="G25" s="12" t="s">
        <v>60</v>
      </c>
      <c r="H25" s="11" t="str">
        <f>IF(MIN(PARAM!$D$15,PARAM!$E$15)-PARAM!$H$21&gt;=1.5*PARAM!$D$21,(MIN(PARAM!$D$15,PARAM!$E$15)-PARAM!$H$21)&amp;" ≥ "&amp;(1.5*PARAM!$D$21),"under 1.5d")</f>
        <v>30 ≥ 24</v>
      </c>
      <c r="I25" s="12" t="s">
        <v>61</v>
      </c>
      <c r="J25" s="11" t="str">
        <f>IF(PARAM!$G$23&gt;=PARAM!$F$23,PARAM!$G$23&amp;" ≥ "&amp;ROUND(PARAM!$F$23,1),"shorter than the grip")</f>
        <v>45 ≥ 40.6</v>
      </c>
    </row>
  </sheetData>
  <mergeCells count="6">
    <mergeCell ref="C4:K4"/>
    <mergeCell ref="B10:K10"/>
    <mergeCell ref="C13:K13"/>
    <mergeCell ref="B16:K16"/>
    <mergeCell ref="C19:K19"/>
    <mergeCell ref="B24:K24"/>
  </mergeCells>
  <dataValidations count="2">
    <dataValidation type="list" showErrorMessage="1" error="Pick one from the catalogue tab." sqref="C15">
      <formula1>ANGLE!$A$2:$A$54</formula1>
    </dataValidation>
    <dataValidation type="list" showErrorMessage="1" error="Pick one from the catalogue tab." sqref="C6:C7">
      <formula1>SECT!$A$2:$A$59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workbookViewId="0" showGridLines="0" zoomScale="100" zoomScaleNormal="100"/>
  </sheetViews>
  <sheetFormatPr defaultRowHeight="15" outlineLevelRow="0" outlineLevelCol="0" x14ac:dyDescent="55"/>
  <cols>
    <col min="1" max="1" width="44" customWidth="1"/>
    <col min="2" max="2" width="11" customWidth="1"/>
    <col min="3" max="3" width="12" customWidth="1"/>
    <col min="4" max="5" width="10" customWidth="1"/>
  </cols>
  <sheetData>
    <row r="1" spans="1:2" x14ac:dyDescent="0.25">
      <c r="A1" s="10" t="s">
        <v>62</v>
      </c>
    </row>
    <row r="2" spans="1:3" x14ac:dyDescent="0.25">
      <c r="B2" s="14" t="s">
        <v>63</v>
      </c>
      <c r="C2" s="15" t="s">
        <v>64</v>
      </c>
    </row>
    <row r="3" spans="1:12" x14ac:dyDescent="0.25">
      <c r="A3" s="10" t="s">
        <v>65</v>
      </c>
    </row>
    <row r="4" spans="1:2" x14ac:dyDescent="0.25">
      <c r="A4" s="10" t="s">
        <v>66</v>
      </c>
    </row>
    <row r="5" spans="1:14" x14ac:dyDescent="0.25">
      <c r="A5" s="10" t="s">
        <v>67</v>
      </c>
      <c r="B5" s="14" t="s">
        <v>68</v>
      </c>
      <c r="C5" s="15" t="s">
        <v>69</v>
      </c>
      <c r="D5" s="15" t="str">
        <f>PARAM!$C$9</f>
        <v>SS275</v>
      </c>
      <c r="E5" s="15">
        <f>PARAM!$J$6</f>
        <v>1600</v>
      </c>
      <c r="F5" s="15" t="s">
        <v>70</v>
      </c>
      <c r="G5" s="15" t="s">
        <v>71</v>
      </c>
      <c r="H5" s="15">
        <f>PARAM!$D$6</f>
        <v>300</v>
      </c>
      <c r="I5" s="15">
        <f>PARAM!$E$6</f>
        <v>300</v>
      </c>
      <c r="J5" s="15">
        <f>PARAM!$E$6</f>
        <v>300</v>
      </c>
      <c r="K5" s="15">
        <f>PARAM!$F$6</f>
        <v>10</v>
      </c>
      <c r="L5" s="15">
        <f>PARAM!$G$6</f>
        <v>15</v>
      </c>
      <c r="M5" s="15">
        <f>PARAM!$G$6</f>
        <v>15</v>
      </c>
      <c r="N5" s="15">
        <f>PARAM!$H$6</f>
        <v>18</v>
      </c>
    </row>
    <row r="6" spans="1:14" x14ac:dyDescent="0.25">
      <c r="A6" s="10" t="s">
        <v>72</v>
      </c>
      <c r="B6" s="14" t="s">
        <v>68</v>
      </c>
      <c r="C6" s="15" t="s">
        <v>73</v>
      </c>
      <c r="D6" s="15" t="str">
        <f>PARAM!$C$9</f>
        <v>SS275</v>
      </c>
      <c r="E6" s="15">
        <f>PARAM!$J$7</f>
        <v>900</v>
      </c>
      <c r="F6" s="15" t="s">
        <v>70</v>
      </c>
      <c r="G6" s="15" t="s">
        <v>71</v>
      </c>
      <c r="H6" s="15">
        <f>PARAM!$D$7</f>
        <v>300</v>
      </c>
      <c r="I6" s="15">
        <f>PARAM!$E$7</f>
        <v>150</v>
      </c>
      <c r="J6" s="15">
        <f>PARAM!$E$7</f>
        <v>150</v>
      </c>
      <c r="K6" s="15">
        <f>PARAM!$F$7</f>
        <v>6.5</v>
      </c>
      <c r="L6" s="15">
        <f>PARAM!$G$7</f>
        <v>9</v>
      </c>
      <c r="M6" s="15">
        <f>PARAM!$G$7</f>
        <v>9</v>
      </c>
      <c r="N6" s="15">
        <f>PARAM!$H$7</f>
        <v>13</v>
      </c>
    </row>
    <row r="7" spans="1:13" x14ac:dyDescent="0.25">
      <c r="A7" s="10" t="s">
        <v>74</v>
      </c>
      <c r="B7" s="14" t="s">
        <v>68</v>
      </c>
      <c r="C7" s="15" t="s">
        <v>75</v>
      </c>
      <c r="D7" s="15" t="str">
        <f>PARAM!$C$9</f>
        <v>SS275</v>
      </c>
      <c r="E7" s="15">
        <f>PARAM!$K$15</f>
        <v>140</v>
      </c>
      <c r="F7" s="15" t="s">
        <v>76</v>
      </c>
      <c r="G7" s="15" t="s">
        <v>71</v>
      </c>
      <c r="H7" s="15">
        <f>PARAM!$D$15</f>
        <v>65</v>
      </c>
      <c r="I7" s="15">
        <f>PARAM!$E$15</f>
        <v>65</v>
      </c>
      <c r="J7" s="15">
        <f>PARAM!$F$15</f>
        <v>8</v>
      </c>
      <c r="K7" s="15">
        <f>PARAM!$F$15</f>
        <v>8</v>
      </c>
      <c r="L7" s="15">
        <f>PARAM!$G$15</f>
        <v>8.5</v>
      </c>
      <c r="M7" s="15">
        <f>PARAM!$H$15</f>
        <v>6</v>
      </c>
    </row>
    <row r="8" spans="1:12" x14ac:dyDescent="0.25">
      <c r="A8" s="10" t="s">
        <v>65</v>
      </c>
    </row>
    <row r="9" spans="1:2" x14ac:dyDescent="0.25">
      <c r="A9" s="10" t="s">
        <v>77</v>
      </c>
    </row>
    <row r="10" spans="1:2" x14ac:dyDescent="0.25">
      <c r="A10" s="10" t="s">
        <v>78</v>
      </c>
    </row>
    <row r="11" spans="1:12" x14ac:dyDescent="0.25">
      <c r="A11" s="10" t="s">
        <v>79</v>
      </c>
      <c r="B11" s="14" t="s">
        <v>80</v>
      </c>
      <c r="C11" s="15" t="s">
        <v>81</v>
      </c>
      <c r="D11" s="15" t="str">
        <f>PARAM!$C$21</f>
        <v>F10T</v>
      </c>
      <c r="E11" s="15">
        <f>PARAM!$D$21</f>
        <v>16</v>
      </c>
      <c r="F11" s="15">
        <f>PARAM!$G$23</f>
        <v>45</v>
      </c>
      <c r="G11" s="15">
        <f>PARAM!$E$21</f>
        <v>18</v>
      </c>
      <c r="H11" s="15"/>
      <c r="I11" s="15"/>
      <c r="J11" s="15"/>
      <c r="K11" s="15">
        <f>PARAM!$E$23</f>
        <v>14.4</v>
      </c>
      <c r="L11" s="15">
        <f>PARAM!$H$23</f>
        <v>7.6</v>
      </c>
    </row>
    <row r="12" spans="1:12" x14ac:dyDescent="0.25">
      <c r="A12" s="10" t="s">
        <v>82</v>
      </c>
      <c r="B12" s="14" t="s">
        <v>80</v>
      </c>
      <c r="C12" s="15" t="s">
        <v>83</v>
      </c>
      <c r="D12" s="15" t="str">
        <f>PARAM!$C$21</f>
        <v>F10T</v>
      </c>
      <c r="E12" s="15">
        <f>PARAM!$D$21</f>
        <v>16</v>
      </c>
      <c r="F12" s="15">
        <f>PARAM!$G$23</f>
        <v>45</v>
      </c>
      <c r="G12" s="15">
        <f>PARAM!$E$21</f>
        <v>18</v>
      </c>
      <c r="H12" s="15"/>
      <c r="I12" s="15"/>
      <c r="J12" s="15"/>
      <c r="K12" s="15">
        <f>PARAM!$E$23</f>
        <v>14.4</v>
      </c>
      <c r="L12" s="15">
        <f>PARAM!$I$23</f>
        <v>8.1</v>
      </c>
    </row>
    <row r="13" spans="1:12" x14ac:dyDescent="0.25">
      <c r="A13" s="10" t="s">
        <v>65</v>
      </c>
    </row>
    <row r="14" spans="1:2" x14ac:dyDescent="0.25">
      <c r="A14" s="10" t="s">
        <v>84</v>
      </c>
    </row>
    <row r="15" spans="1:2" x14ac:dyDescent="0.25">
      <c r="A15" s="10" t="s">
        <v>85</v>
      </c>
    </row>
    <row r="16" spans="1:12" x14ac:dyDescent="0.25">
      <c r="A16" s="10" t="s">
        <v>86</v>
      </c>
      <c r="B16" s="14" t="s">
        <v>87</v>
      </c>
      <c r="C16" s="15" t="s">
        <v>88</v>
      </c>
      <c r="D16" s="15" t="s">
        <v>69</v>
      </c>
      <c r="E16" s="15"/>
      <c r="F16" s="15">
        <v>0</v>
      </c>
      <c r="G16" s="15">
        <v>0</v>
      </c>
      <c r="H16" s="15">
        <v>0</v>
      </c>
      <c r="I16" s="15" t="s">
        <v>89</v>
      </c>
      <c r="J16" s="15">
        <v>0</v>
      </c>
      <c r="K16" s="15">
        <v>0</v>
      </c>
      <c r="L16" s="15">
        <v>90</v>
      </c>
    </row>
    <row r="17" spans="1:6" x14ac:dyDescent="0.25">
      <c r="B17" s="14" t="s">
        <v>87</v>
      </c>
      <c r="C17" s="15" t="s">
        <v>88</v>
      </c>
      <c r="D17" s="15" t="s">
        <v>90</v>
      </c>
      <c r="E17" s="15" t="s">
        <v>69</v>
      </c>
      <c r="F17" s="15" t="s">
        <v>71</v>
      </c>
    </row>
    <row r="18" spans="1:12" x14ac:dyDescent="0.25">
      <c r="A18" s="10" t="s">
        <v>65</v>
      </c>
    </row>
    <row r="19" spans="1:9" x14ac:dyDescent="0.25">
      <c r="B19" s="14" t="s">
        <v>87</v>
      </c>
      <c r="C19" s="15" t="s">
        <v>91</v>
      </c>
      <c r="D19" s="15" t="s">
        <v>73</v>
      </c>
      <c r="E19" s="15"/>
      <c r="F19" s="15">
        <v>0</v>
      </c>
      <c r="G19" s="15">
        <v>0</v>
      </c>
      <c r="H19" s="15">
        <v>0</v>
      </c>
      <c r="I19" s="15" t="s">
        <v>92</v>
      </c>
    </row>
    <row r="20" spans="1:6" x14ac:dyDescent="0.25">
      <c r="B20" s="14" t="s">
        <v>87</v>
      </c>
      <c r="C20" s="15" t="s">
        <v>91</v>
      </c>
      <c r="D20" s="15" t="s">
        <v>90</v>
      </c>
      <c r="E20" s="15" t="s">
        <v>73</v>
      </c>
      <c r="F20" s="15" t="s">
        <v>71</v>
      </c>
    </row>
    <row r="21" spans="1:12" x14ac:dyDescent="0.25">
      <c r="A21" s="10" t="s">
        <v>65</v>
      </c>
    </row>
    <row r="22" spans="1:9" x14ac:dyDescent="0.25">
      <c r="A22" s="10" t="s">
        <v>93</v>
      </c>
      <c r="B22" s="14" t="s">
        <v>87</v>
      </c>
      <c r="C22" s="15" t="s">
        <v>94</v>
      </c>
      <c r="D22" s="15" t="s">
        <v>75</v>
      </c>
      <c r="E22" s="15"/>
      <c r="F22" s="15">
        <v>0</v>
      </c>
      <c r="G22" s="15">
        <v>0</v>
      </c>
      <c r="H22" s="15">
        <v>0</v>
      </c>
      <c r="I22" s="15" t="s">
        <v>89</v>
      </c>
    </row>
    <row r="23" spans="1:16" x14ac:dyDescent="0.25">
      <c r="A23" s="10" t="s">
        <v>95</v>
      </c>
      <c r="B23" s="14" t="s">
        <v>87</v>
      </c>
      <c r="C23" s="15" t="s">
        <v>94</v>
      </c>
      <c r="D23" s="15" t="s">
        <v>81</v>
      </c>
      <c r="E23" s="15"/>
      <c r="F23" s="15">
        <f>-(PARAM!$D$15/2+PARAM!$G$6)</f>
        <v>-47.5</v>
      </c>
      <c r="G23" s="15">
        <f>PARAM!$H$21-PARAM!$E$15/2</f>
        <v>2.5</v>
      </c>
      <c r="H23" s="15">
        <f>PARAM!$K$15/2+-PARAM!$F$21*(PARAM!$G$21-1)/2</f>
        <v>30</v>
      </c>
      <c r="I23" s="15" t="s">
        <v>92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f>PARAM!$F$21</f>
        <v>40</v>
      </c>
      <c r="P23" s="15">
        <f>PARAM!$G$21-1</f>
        <v>2</v>
      </c>
    </row>
    <row r="24" spans="1:6" x14ac:dyDescent="0.25">
      <c r="B24" s="14" t="s">
        <v>87</v>
      </c>
      <c r="C24" s="15" t="s">
        <v>94</v>
      </c>
      <c r="D24" s="15" t="s">
        <v>90</v>
      </c>
      <c r="E24" s="15" t="s">
        <v>75</v>
      </c>
      <c r="F24" s="15" t="s">
        <v>71</v>
      </c>
    </row>
    <row r="25" spans="1:12" x14ac:dyDescent="0.25">
      <c r="A25" s="10" t="s">
        <v>65</v>
      </c>
    </row>
    <row r="26" spans="1:16" x14ac:dyDescent="0.25">
      <c r="B26" s="14" t="s">
        <v>87</v>
      </c>
      <c r="C26" s="15" t="s">
        <v>96</v>
      </c>
      <c r="D26" s="15" t="s">
        <v>83</v>
      </c>
      <c r="E26" s="15"/>
      <c r="F26" s="15">
        <v>0</v>
      </c>
      <c r="G26" s="15">
        <v>0</v>
      </c>
      <c r="H26" s="15">
        <v>0</v>
      </c>
      <c r="I26" s="15" t="s">
        <v>97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f>PARAM!$F$21</f>
        <v>40</v>
      </c>
      <c r="P26" s="15">
        <f>PARAM!$G$21-1</f>
        <v>2</v>
      </c>
    </row>
    <row r="27" spans="1:6" x14ac:dyDescent="0.25">
      <c r="B27" s="14" t="s">
        <v>87</v>
      </c>
      <c r="C27" s="15" t="s">
        <v>96</v>
      </c>
      <c r="D27" s="15" t="s">
        <v>90</v>
      </c>
      <c r="E27" s="15" t="s">
        <v>98</v>
      </c>
      <c r="F27" s="15" t="s">
        <v>71</v>
      </c>
    </row>
    <row r="28" spans="1:12" x14ac:dyDescent="0.25">
      <c r="A28" s="10" t="s">
        <v>65</v>
      </c>
    </row>
    <row r="29" spans="1:2" x14ac:dyDescent="0.25">
      <c r="A29" s="10" t="s">
        <v>99</v>
      </c>
    </row>
    <row r="30" spans="1:8" x14ac:dyDescent="0.25">
      <c r="B30" s="14" t="s">
        <v>100</v>
      </c>
      <c r="C30" s="15" t="s">
        <v>101</v>
      </c>
      <c r="D30" s="15" t="s">
        <v>88</v>
      </c>
      <c r="E30" s="15" t="s">
        <v>102</v>
      </c>
      <c r="F30" s="15">
        <v>0</v>
      </c>
      <c r="G30" s="15">
        <v>0</v>
      </c>
      <c r="H30" s="15">
        <f>-PARAM!$J$6/2</f>
        <v>-800</v>
      </c>
    </row>
    <row r="31" spans="1:8" x14ac:dyDescent="0.25">
      <c r="A31" s="10" t="s">
        <v>103</v>
      </c>
      <c r="B31" s="14" t="s">
        <v>100</v>
      </c>
      <c r="C31" s="15" t="s">
        <v>101</v>
      </c>
      <c r="D31" s="15" t="s">
        <v>91</v>
      </c>
      <c r="E31" s="15" t="s">
        <v>102</v>
      </c>
      <c r="F31" s="15">
        <f>PARAM!$D$6/2+PARAM!$C$8</f>
        <v>160</v>
      </c>
      <c r="G31" s="15">
        <v>0</v>
      </c>
      <c r="H31" s="15">
        <v>0</v>
      </c>
    </row>
    <row r="32" spans="1:8" x14ac:dyDescent="0.25">
      <c r="A32" s="10" t="s">
        <v>104</v>
      </c>
      <c r="B32" s="14" t="s">
        <v>100</v>
      </c>
      <c r="C32" s="15" t="s">
        <v>105</v>
      </c>
      <c r="D32" s="15" t="s">
        <v>94</v>
      </c>
      <c r="E32" s="15" t="s">
        <v>102</v>
      </c>
      <c r="F32" s="15">
        <f>PARAM!$D$6/2+PARAM!$D$15/2</f>
        <v>182.5</v>
      </c>
      <c r="G32" s="15">
        <f>PARAM!$F$7/2+PARAM!$E$15/2</f>
        <v>35.75</v>
      </c>
      <c r="H32" s="15">
        <f>-PARAM!$K$15/2</f>
        <v>-70</v>
      </c>
    </row>
    <row r="33" spans="1:9" x14ac:dyDescent="0.25">
      <c r="A33" s="10" t="s">
        <v>106</v>
      </c>
      <c r="B33" s="14" t="s">
        <v>100</v>
      </c>
      <c r="C33" s="15" t="s">
        <v>107</v>
      </c>
      <c r="D33" s="15" t="s">
        <v>105</v>
      </c>
      <c r="E33" s="15" t="s">
        <v>108</v>
      </c>
      <c r="F33" s="15">
        <v>0</v>
      </c>
      <c r="G33" s="15">
        <v>0</v>
      </c>
      <c r="H33" s="15">
        <v>0</v>
      </c>
      <c r="I33" s="15" t="s">
        <v>97</v>
      </c>
    </row>
    <row r="34" spans="1:8" x14ac:dyDescent="0.25">
      <c r="B34" s="14" t="s">
        <v>100</v>
      </c>
      <c r="C34" s="15" t="s">
        <v>101</v>
      </c>
      <c r="D34" s="15" t="s">
        <v>96</v>
      </c>
      <c r="E34" s="15" t="s">
        <v>102</v>
      </c>
      <c r="F34" s="15">
        <f>PARAM!$D$6/2+PARAM!$H$21</f>
        <v>185</v>
      </c>
      <c r="G34" s="15">
        <f>PARAM!$F$7/2+PARAM!$F$15</f>
        <v>11.25</v>
      </c>
      <c r="H34" s="15">
        <f>-PARAM!$F$21*(PARAM!$G$21-1)/2</f>
        <v>-40</v>
      </c>
    </row>
    <row r="35" spans="1:12" x14ac:dyDescent="0.25">
      <c r="A35" s="10" t="s">
        <v>65</v>
      </c>
    </row>
    <row r="36" spans="2:8" x14ac:dyDescent="0.25">
      <c r="B36" t="s">
        <v>109</v>
      </c>
      <c r="C36" t="s">
        <v>101</v>
      </c>
      <c r="D36" t="s">
        <v>110</v>
      </c>
      <c r="G36">
        <v>50</v>
      </c>
      <c r="H36" t="s">
        <v>111</v>
      </c>
    </row>
    <row r="37" spans="2:6" x14ac:dyDescent="0.25">
      <c r="B37" t="s">
        <v>112</v>
      </c>
      <c r="C37" t="s">
        <v>113</v>
      </c>
      <c r="D37" t="s">
        <v>114</v>
      </c>
      <c r="E37">
        <v>10</v>
      </c>
      <c r="F37" t="s">
        <v>115</v>
      </c>
    </row>
    <row r="38" spans="2:6" x14ac:dyDescent="0.25">
      <c r="B38" t="s">
        <v>112</v>
      </c>
      <c r="C38" t="s">
        <v>68</v>
      </c>
      <c r="D38" t="s">
        <v>114</v>
      </c>
      <c r="E38">
        <v>20</v>
      </c>
      <c r="F38" t="s">
        <v>116</v>
      </c>
    </row>
    <row r="39" spans="1:2" x14ac:dyDescent="0.25">
      <c r="B39" s="14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</cols>
  <sheetData>
    <row r="1" spans="1:7" x14ac:dyDescent="0.25">
      <c r="A1" s="16" t="s">
        <v>4</v>
      </c>
      <c r="B1" s="17" t="s">
        <v>5</v>
      </c>
      <c r="C1" s="17" t="s">
        <v>6</v>
      </c>
      <c r="D1" s="17" t="s">
        <v>7</v>
      </c>
      <c r="E1" s="17" t="s">
        <v>8</v>
      </c>
      <c r="F1" s="17" t="s">
        <v>9</v>
      </c>
      <c r="G1" s="17" t="s">
        <v>10</v>
      </c>
    </row>
    <row r="2" spans="1:7" x14ac:dyDescent="0.25">
      <c r="A2" s="18" t="s">
        <v>118</v>
      </c>
      <c r="B2" s="19">
        <v>100</v>
      </c>
      <c r="C2" s="19">
        <v>100</v>
      </c>
      <c r="D2" s="19">
        <v>6</v>
      </c>
      <c r="E2" s="19">
        <v>8</v>
      </c>
      <c r="F2" s="19">
        <v>10</v>
      </c>
      <c r="G2" s="19">
        <v>17.2</v>
      </c>
    </row>
    <row r="3" spans="1:7" x14ac:dyDescent="0.25">
      <c r="A3" s="20" t="s">
        <v>119</v>
      </c>
      <c r="B3" s="21">
        <v>125</v>
      </c>
      <c r="C3" s="21">
        <v>125</v>
      </c>
      <c r="D3" s="21">
        <v>6.5</v>
      </c>
      <c r="E3" s="21">
        <v>9</v>
      </c>
      <c r="F3" s="21">
        <v>10</v>
      </c>
      <c r="G3" s="21">
        <v>23.8</v>
      </c>
    </row>
    <row r="4" spans="1:7" x14ac:dyDescent="0.25">
      <c r="A4" s="18" t="s">
        <v>120</v>
      </c>
      <c r="B4" s="19">
        <v>150</v>
      </c>
      <c r="C4" s="19">
        <v>75</v>
      </c>
      <c r="D4" s="19">
        <v>5</v>
      </c>
      <c r="E4" s="19">
        <v>7</v>
      </c>
      <c r="F4" s="19">
        <v>8</v>
      </c>
      <c r="G4" s="19">
        <v>14</v>
      </c>
    </row>
    <row r="5" spans="1:7" x14ac:dyDescent="0.25">
      <c r="A5" s="20" t="s">
        <v>121</v>
      </c>
      <c r="B5" s="21">
        <v>148</v>
      </c>
      <c r="C5" s="21">
        <v>100</v>
      </c>
      <c r="D5" s="21">
        <v>6</v>
      </c>
      <c r="E5" s="21">
        <v>9</v>
      </c>
      <c r="F5" s="21">
        <v>11</v>
      </c>
      <c r="G5" s="21">
        <v>21.1</v>
      </c>
    </row>
    <row r="6" spans="1:7" x14ac:dyDescent="0.25">
      <c r="A6" s="18" t="s">
        <v>122</v>
      </c>
      <c r="B6" s="19">
        <v>150</v>
      </c>
      <c r="C6" s="19">
        <v>150</v>
      </c>
      <c r="D6" s="19">
        <v>7</v>
      </c>
      <c r="E6" s="19">
        <v>10</v>
      </c>
      <c r="F6" s="19">
        <v>11</v>
      </c>
      <c r="G6" s="19">
        <v>31.5</v>
      </c>
    </row>
    <row r="7" spans="1:7" x14ac:dyDescent="0.25">
      <c r="A7" s="20" t="s">
        <v>123</v>
      </c>
      <c r="B7" s="21">
        <v>198</v>
      </c>
      <c r="C7" s="21">
        <v>99</v>
      </c>
      <c r="D7" s="21">
        <v>4.5</v>
      </c>
      <c r="E7" s="21">
        <v>7</v>
      </c>
      <c r="F7" s="21">
        <v>11</v>
      </c>
      <c r="G7" s="21">
        <v>18.2</v>
      </c>
    </row>
    <row r="8" spans="1:7" x14ac:dyDescent="0.25">
      <c r="A8" s="18" t="s">
        <v>124</v>
      </c>
      <c r="B8" s="19">
        <v>200</v>
      </c>
      <c r="C8" s="19">
        <v>100</v>
      </c>
      <c r="D8" s="19">
        <v>5.5</v>
      </c>
      <c r="E8" s="19">
        <v>8</v>
      </c>
      <c r="F8" s="19">
        <v>11</v>
      </c>
      <c r="G8" s="19">
        <v>21.3</v>
      </c>
    </row>
    <row r="9" spans="1:7" x14ac:dyDescent="0.25">
      <c r="A9" s="20" t="s">
        <v>125</v>
      </c>
      <c r="B9" s="21">
        <v>194</v>
      </c>
      <c r="C9" s="21">
        <v>150</v>
      </c>
      <c r="D9" s="21">
        <v>6</v>
      </c>
      <c r="E9" s="21">
        <v>9</v>
      </c>
      <c r="F9" s="21">
        <v>13</v>
      </c>
      <c r="G9" s="21">
        <v>30.6</v>
      </c>
    </row>
    <row r="10" spans="1:7" x14ac:dyDescent="0.25">
      <c r="A10" s="18" t="s">
        <v>126</v>
      </c>
      <c r="B10" s="19">
        <v>200</v>
      </c>
      <c r="C10" s="19">
        <v>200</v>
      </c>
      <c r="D10" s="19">
        <v>8</v>
      </c>
      <c r="E10" s="19">
        <v>12</v>
      </c>
      <c r="F10" s="19">
        <v>13</v>
      </c>
      <c r="G10" s="19">
        <v>49.9</v>
      </c>
    </row>
    <row r="11" spans="1:7" x14ac:dyDescent="0.25">
      <c r="A11" s="20" t="s">
        <v>127</v>
      </c>
      <c r="B11" s="21">
        <v>200</v>
      </c>
      <c r="C11" s="21">
        <v>204</v>
      </c>
      <c r="D11" s="21">
        <v>12</v>
      </c>
      <c r="E11" s="21">
        <v>12</v>
      </c>
      <c r="F11" s="21">
        <v>13</v>
      </c>
      <c r="G11" s="21">
        <v>56.2</v>
      </c>
    </row>
    <row r="12" spans="1:7" x14ac:dyDescent="0.25">
      <c r="A12" s="18" t="s">
        <v>128</v>
      </c>
      <c r="B12" s="19">
        <v>248</v>
      </c>
      <c r="C12" s="19">
        <v>124</v>
      </c>
      <c r="D12" s="19">
        <v>5</v>
      </c>
      <c r="E12" s="19">
        <v>8</v>
      </c>
      <c r="F12" s="19">
        <v>12</v>
      </c>
      <c r="G12" s="19">
        <v>25.7</v>
      </c>
    </row>
    <row r="13" spans="1:7" x14ac:dyDescent="0.25">
      <c r="A13" s="20" t="s">
        <v>129</v>
      </c>
      <c r="B13" s="21">
        <v>250</v>
      </c>
      <c r="C13" s="21">
        <v>125</v>
      </c>
      <c r="D13" s="21">
        <v>6</v>
      </c>
      <c r="E13" s="21">
        <v>9</v>
      </c>
      <c r="F13" s="21">
        <v>12</v>
      </c>
      <c r="G13" s="21">
        <v>29.6</v>
      </c>
    </row>
    <row r="14" spans="1:7" x14ac:dyDescent="0.25">
      <c r="A14" s="18" t="s">
        <v>130</v>
      </c>
      <c r="B14" s="19">
        <v>244</v>
      </c>
      <c r="C14" s="19">
        <v>175</v>
      </c>
      <c r="D14" s="19">
        <v>7</v>
      </c>
      <c r="E14" s="19">
        <v>11</v>
      </c>
      <c r="F14" s="19">
        <v>16</v>
      </c>
      <c r="G14" s="19">
        <v>44.1</v>
      </c>
    </row>
    <row r="15" spans="1:7" x14ac:dyDescent="0.25">
      <c r="A15" s="20" t="s">
        <v>131</v>
      </c>
      <c r="B15" s="21">
        <v>250</v>
      </c>
      <c r="C15" s="21">
        <v>250</v>
      </c>
      <c r="D15" s="21">
        <v>9</v>
      </c>
      <c r="E15" s="21">
        <v>14</v>
      </c>
      <c r="F15" s="21">
        <v>16</v>
      </c>
      <c r="G15" s="21">
        <v>72.4</v>
      </c>
    </row>
    <row r="16" spans="1:7" x14ac:dyDescent="0.25">
      <c r="A16" s="18" t="s">
        <v>132</v>
      </c>
      <c r="B16" s="19">
        <v>250</v>
      </c>
      <c r="C16" s="19">
        <v>255</v>
      </c>
      <c r="D16" s="19">
        <v>14</v>
      </c>
      <c r="E16" s="19">
        <v>14</v>
      </c>
      <c r="F16" s="19">
        <v>16</v>
      </c>
      <c r="G16" s="19">
        <v>82.2</v>
      </c>
    </row>
    <row r="17" spans="1:7" x14ac:dyDescent="0.25">
      <c r="A17" s="20" t="s">
        <v>133</v>
      </c>
      <c r="B17" s="21">
        <v>298</v>
      </c>
      <c r="C17" s="21">
        <v>149</v>
      </c>
      <c r="D17" s="21">
        <v>5.5</v>
      </c>
      <c r="E17" s="21">
        <v>8</v>
      </c>
      <c r="F17" s="21">
        <v>13</v>
      </c>
      <c r="G17" s="21">
        <v>32</v>
      </c>
    </row>
    <row r="18" spans="1:7" x14ac:dyDescent="0.25">
      <c r="A18" s="18" t="s">
        <v>15</v>
      </c>
      <c r="B18" s="19">
        <v>300</v>
      </c>
      <c r="C18" s="19">
        <v>150</v>
      </c>
      <c r="D18" s="19">
        <v>6.5</v>
      </c>
      <c r="E18" s="19">
        <v>9</v>
      </c>
      <c r="F18" s="19">
        <v>13</v>
      </c>
      <c r="G18" s="19">
        <v>36.7</v>
      </c>
    </row>
    <row r="19" spans="1:7" x14ac:dyDescent="0.25">
      <c r="A19" s="20" t="s">
        <v>134</v>
      </c>
      <c r="B19" s="21">
        <v>294</v>
      </c>
      <c r="C19" s="21">
        <v>200</v>
      </c>
      <c r="D19" s="21">
        <v>8</v>
      </c>
      <c r="E19" s="21">
        <v>12</v>
      </c>
      <c r="F19" s="21">
        <v>18</v>
      </c>
      <c r="G19" s="21">
        <v>56.8</v>
      </c>
    </row>
    <row r="20" spans="1:7" x14ac:dyDescent="0.25">
      <c r="A20" s="18" t="s">
        <v>135</v>
      </c>
      <c r="B20" s="19">
        <v>294</v>
      </c>
      <c r="C20" s="19">
        <v>302</v>
      </c>
      <c r="D20" s="19">
        <v>12</v>
      </c>
      <c r="E20" s="19">
        <v>12</v>
      </c>
      <c r="F20" s="19">
        <v>18</v>
      </c>
      <c r="G20" s="19">
        <v>84.5</v>
      </c>
    </row>
    <row r="21" spans="1:7" x14ac:dyDescent="0.25">
      <c r="A21" s="20" t="s">
        <v>13</v>
      </c>
      <c r="B21" s="21">
        <v>300</v>
      </c>
      <c r="C21" s="21">
        <v>300</v>
      </c>
      <c r="D21" s="21">
        <v>10</v>
      </c>
      <c r="E21" s="21">
        <v>15</v>
      </c>
      <c r="F21" s="21">
        <v>18</v>
      </c>
      <c r="G21" s="21">
        <v>94</v>
      </c>
    </row>
    <row r="22" spans="1:7" x14ac:dyDescent="0.25">
      <c r="A22" s="18" t="s">
        <v>136</v>
      </c>
      <c r="B22" s="19">
        <v>300</v>
      </c>
      <c r="C22" s="19">
        <v>305</v>
      </c>
      <c r="D22" s="19">
        <v>15</v>
      </c>
      <c r="E22" s="19">
        <v>15</v>
      </c>
      <c r="F22" s="19">
        <v>18</v>
      </c>
      <c r="G22" s="19">
        <v>106</v>
      </c>
    </row>
    <row r="23" spans="1:7" x14ac:dyDescent="0.25">
      <c r="A23" s="20" t="s">
        <v>137</v>
      </c>
      <c r="B23" s="21">
        <v>346</v>
      </c>
      <c r="C23" s="21">
        <v>174</v>
      </c>
      <c r="D23" s="21">
        <v>6</v>
      </c>
      <c r="E23" s="21">
        <v>9</v>
      </c>
      <c r="F23" s="21">
        <v>14</v>
      </c>
      <c r="G23" s="21">
        <v>41.4</v>
      </c>
    </row>
    <row r="24" spans="1:7" x14ac:dyDescent="0.25">
      <c r="A24" s="18" t="s">
        <v>138</v>
      </c>
      <c r="B24" s="19">
        <v>350</v>
      </c>
      <c r="C24" s="19">
        <v>175</v>
      </c>
      <c r="D24" s="19">
        <v>7</v>
      </c>
      <c r="E24" s="19">
        <v>11</v>
      </c>
      <c r="F24" s="19">
        <v>14</v>
      </c>
      <c r="G24" s="19">
        <v>49.6</v>
      </c>
    </row>
    <row r="25" spans="1:7" x14ac:dyDescent="0.25">
      <c r="A25" s="20" t="s">
        <v>139</v>
      </c>
      <c r="B25" s="21">
        <v>340</v>
      </c>
      <c r="C25" s="21">
        <v>250</v>
      </c>
      <c r="D25" s="21">
        <v>9</v>
      </c>
      <c r="E25" s="21">
        <v>14</v>
      </c>
      <c r="F25" s="21">
        <v>20</v>
      </c>
      <c r="G25" s="21">
        <v>79.7</v>
      </c>
    </row>
    <row r="26" spans="1:7" x14ac:dyDescent="0.25">
      <c r="A26" s="18" t="s">
        <v>140</v>
      </c>
      <c r="B26" s="19">
        <v>344</v>
      </c>
      <c r="C26" s="19">
        <v>348</v>
      </c>
      <c r="D26" s="19">
        <v>10</v>
      </c>
      <c r="E26" s="19">
        <v>16</v>
      </c>
      <c r="F26" s="19">
        <v>20</v>
      </c>
      <c r="G26" s="19">
        <v>115</v>
      </c>
    </row>
    <row r="27" spans="1:7" x14ac:dyDescent="0.25">
      <c r="A27" s="20" t="s">
        <v>141</v>
      </c>
      <c r="B27" s="21">
        <v>350</v>
      </c>
      <c r="C27" s="21">
        <v>350</v>
      </c>
      <c r="D27" s="21">
        <v>12</v>
      </c>
      <c r="E27" s="21">
        <v>19</v>
      </c>
      <c r="F27" s="21">
        <v>20</v>
      </c>
      <c r="G27" s="21">
        <v>137</v>
      </c>
    </row>
    <row r="28" spans="1:7" x14ac:dyDescent="0.25">
      <c r="A28" s="18" t="s">
        <v>142</v>
      </c>
      <c r="B28" s="19">
        <v>396</v>
      </c>
      <c r="C28" s="19">
        <v>199</v>
      </c>
      <c r="D28" s="19">
        <v>7</v>
      </c>
      <c r="E28" s="19">
        <v>11</v>
      </c>
      <c r="F28" s="19">
        <v>16</v>
      </c>
      <c r="G28" s="19">
        <v>56.6</v>
      </c>
    </row>
    <row r="29" spans="1:7" x14ac:dyDescent="0.25">
      <c r="A29" s="20" t="s">
        <v>143</v>
      </c>
      <c r="B29" s="21">
        <v>400</v>
      </c>
      <c r="C29" s="21">
        <v>200</v>
      </c>
      <c r="D29" s="21">
        <v>8</v>
      </c>
      <c r="E29" s="21">
        <v>13</v>
      </c>
      <c r="F29" s="21">
        <v>16</v>
      </c>
      <c r="G29" s="21">
        <v>66</v>
      </c>
    </row>
    <row r="30" spans="1:7" x14ac:dyDescent="0.25">
      <c r="A30" s="18" t="s">
        <v>144</v>
      </c>
      <c r="B30" s="19">
        <v>390</v>
      </c>
      <c r="C30" s="19">
        <v>300</v>
      </c>
      <c r="D30" s="19">
        <v>10</v>
      </c>
      <c r="E30" s="19">
        <v>16</v>
      </c>
      <c r="F30" s="19">
        <v>22</v>
      </c>
      <c r="G30" s="19">
        <v>107</v>
      </c>
    </row>
    <row r="31" spans="1:7" x14ac:dyDescent="0.25">
      <c r="A31" s="20" t="s">
        <v>145</v>
      </c>
      <c r="B31" s="21">
        <v>388</v>
      </c>
      <c r="C31" s="21">
        <v>402</v>
      </c>
      <c r="D31" s="21">
        <v>15</v>
      </c>
      <c r="E31" s="21">
        <v>15</v>
      </c>
      <c r="F31" s="21">
        <v>22</v>
      </c>
      <c r="G31" s="21">
        <v>140</v>
      </c>
    </row>
    <row r="32" spans="1:7" x14ac:dyDescent="0.25">
      <c r="A32" s="18" t="s">
        <v>146</v>
      </c>
      <c r="B32" s="19">
        <v>394</v>
      </c>
      <c r="C32" s="19">
        <v>398</v>
      </c>
      <c r="D32" s="19">
        <v>11</v>
      </c>
      <c r="E32" s="19">
        <v>18</v>
      </c>
      <c r="F32" s="19">
        <v>22</v>
      </c>
      <c r="G32" s="19">
        <v>147</v>
      </c>
    </row>
    <row r="33" spans="1:7" x14ac:dyDescent="0.25">
      <c r="A33" s="20" t="s">
        <v>147</v>
      </c>
      <c r="B33" s="21">
        <v>400</v>
      </c>
      <c r="C33" s="21">
        <v>400</v>
      </c>
      <c r="D33" s="21">
        <v>13</v>
      </c>
      <c r="E33" s="21">
        <v>21</v>
      </c>
      <c r="F33" s="21">
        <v>22</v>
      </c>
      <c r="G33" s="21">
        <v>172</v>
      </c>
    </row>
    <row r="34" spans="1:7" x14ac:dyDescent="0.25">
      <c r="A34" s="18" t="s">
        <v>148</v>
      </c>
      <c r="B34" s="19">
        <v>400</v>
      </c>
      <c r="C34" s="19">
        <v>408</v>
      </c>
      <c r="D34" s="19">
        <v>21</v>
      </c>
      <c r="E34" s="19">
        <v>21</v>
      </c>
      <c r="F34" s="19">
        <v>22</v>
      </c>
      <c r="G34" s="19">
        <v>197</v>
      </c>
    </row>
    <row r="35" spans="1:7" x14ac:dyDescent="0.25">
      <c r="A35" s="20" t="s">
        <v>149</v>
      </c>
      <c r="B35" s="21">
        <v>414</v>
      </c>
      <c r="C35" s="21">
        <v>405</v>
      </c>
      <c r="D35" s="21">
        <v>18</v>
      </c>
      <c r="E35" s="21">
        <v>28</v>
      </c>
      <c r="F35" s="21">
        <v>22</v>
      </c>
      <c r="G35" s="21">
        <v>232</v>
      </c>
    </row>
    <row r="36" spans="1:7" x14ac:dyDescent="0.25">
      <c r="A36" s="18" t="s">
        <v>150</v>
      </c>
      <c r="B36" s="19">
        <v>428</v>
      </c>
      <c r="C36" s="19">
        <v>407</v>
      </c>
      <c r="D36" s="19">
        <v>20</v>
      </c>
      <c r="E36" s="19">
        <v>35</v>
      </c>
      <c r="F36" s="19">
        <v>22</v>
      </c>
      <c r="G36" s="19">
        <v>283</v>
      </c>
    </row>
    <row r="37" spans="1:7" x14ac:dyDescent="0.25">
      <c r="A37" s="20" t="s">
        <v>151</v>
      </c>
      <c r="B37" s="21">
        <v>458</v>
      </c>
      <c r="C37" s="21">
        <v>417</v>
      </c>
      <c r="D37" s="21">
        <v>30</v>
      </c>
      <c r="E37" s="21">
        <v>50</v>
      </c>
      <c r="F37" s="21">
        <v>22</v>
      </c>
      <c r="G37" s="21">
        <v>415</v>
      </c>
    </row>
    <row r="38" spans="1:7" x14ac:dyDescent="0.25">
      <c r="A38" s="18" t="s">
        <v>152</v>
      </c>
      <c r="B38" s="19">
        <v>498</v>
      </c>
      <c r="C38" s="19">
        <v>432</v>
      </c>
      <c r="D38" s="19">
        <v>45</v>
      </c>
      <c r="E38" s="19">
        <v>70</v>
      </c>
      <c r="F38" s="19">
        <v>22</v>
      </c>
      <c r="G38" s="19">
        <v>605</v>
      </c>
    </row>
    <row r="39" spans="1:7" x14ac:dyDescent="0.25">
      <c r="A39" s="20" t="s">
        <v>153</v>
      </c>
      <c r="B39" s="21">
        <v>446</v>
      </c>
      <c r="C39" s="21">
        <v>199</v>
      </c>
      <c r="D39" s="21">
        <v>8</v>
      </c>
      <c r="E39" s="21">
        <v>12</v>
      </c>
      <c r="F39" s="21">
        <v>18</v>
      </c>
      <c r="G39" s="21">
        <v>66.2</v>
      </c>
    </row>
    <row r="40" spans="1:7" x14ac:dyDescent="0.25">
      <c r="A40" s="18" t="s">
        <v>154</v>
      </c>
      <c r="B40" s="19">
        <v>450</v>
      </c>
      <c r="C40" s="19">
        <v>200</v>
      </c>
      <c r="D40" s="19">
        <v>9</v>
      </c>
      <c r="E40" s="19">
        <v>14</v>
      </c>
      <c r="F40" s="19">
        <v>18</v>
      </c>
      <c r="G40" s="19">
        <v>76</v>
      </c>
    </row>
    <row r="41" spans="1:7" x14ac:dyDescent="0.25">
      <c r="A41" s="20" t="s">
        <v>155</v>
      </c>
      <c r="B41" s="21">
        <v>440</v>
      </c>
      <c r="C41" s="21">
        <v>300</v>
      </c>
      <c r="D41" s="21">
        <v>11</v>
      </c>
      <c r="E41" s="21">
        <v>18</v>
      </c>
      <c r="F41" s="21">
        <v>24</v>
      </c>
      <c r="G41" s="21">
        <v>124</v>
      </c>
    </row>
    <row r="42" spans="1:7" x14ac:dyDescent="0.25">
      <c r="A42" s="18" t="s">
        <v>156</v>
      </c>
      <c r="B42" s="19">
        <v>440</v>
      </c>
      <c r="C42" s="19">
        <v>300</v>
      </c>
      <c r="D42" s="19">
        <v>11</v>
      </c>
      <c r="E42" s="19">
        <v>18</v>
      </c>
      <c r="F42" s="19">
        <v>13</v>
      </c>
      <c r="G42" s="19">
        <v>121</v>
      </c>
    </row>
    <row r="43" spans="1:7" x14ac:dyDescent="0.25">
      <c r="A43" s="20" t="s">
        <v>157</v>
      </c>
      <c r="B43" s="21">
        <v>496</v>
      </c>
      <c r="C43" s="21">
        <v>199</v>
      </c>
      <c r="D43" s="21">
        <v>9</v>
      </c>
      <c r="E43" s="21">
        <v>14</v>
      </c>
      <c r="F43" s="21">
        <v>13</v>
      </c>
      <c r="G43" s="21">
        <v>77.9</v>
      </c>
    </row>
    <row r="44" spans="1:7" x14ac:dyDescent="0.25">
      <c r="A44" s="18" t="s">
        <v>158</v>
      </c>
      <c r="B44" s="19">
        <v>500</v>
      </c>
      <c r="C44" s="19">
        <v>200</v>
      </c>
      <c r="D44" s="19">
        <v>10</v>
      </c>
      <c r="E44" s="19">
        <v>16</v>
      </c>
      <c r="F44" s="19">
        <v>13</v>
      </c>
      <c r="G44" s="19">
        <v>88.2</v>
      </c>
    </row>
    <row r="45" spans="1:7" x14ac:dyDescent="0.25">
      <c r="A45" s="20" t="s">
        <v>159</v>
      </c>
      <c r="B45" s="21">
        <v>482</v>
      </c>
      <c r="C45" s="21">
        <v>300</v>
      </c>
      <c r="D45" s="21">
        <v>11</v>
      </c>
      <c r="E45" s="21">
        <v>15</v>
      </c>
      <c r="F45" s="21">
        <v>13</v>
      </c>
      <c r="G45" s="21">
        <v>111</v>
      </c>
    </row>
    <row r="46" spans="1:7" x14ac:dyDescent="0.25">
      <c r="A46" s="18" t="s">
        <v>160</v>
      </c>
      <c r="B46" s="19">
        <v>488</v>
      </c>
      <c r="C46" s="19">
        <v>300</v>
      </c>
      <c r="D46" s="19">
        <v>11</v>
      </c>
      <c r="E46" s="19">
        <v>18</v>
      </c>
      <c r="F46" s="19">
        <v>13</v>
      </c>
      <c r="G46" s="19">
        <v>125</v>
      </c>
    </row>
    <row r="47" spans="1:7" x14ac:dyDescent="0.25">
      <c r="A47" s="20" t="s">
        <v>161</v>
      </c>
      <c r="B47" s="21">
        <v>596</v>
      </c>
      <c r="C47" s="21">
        <v>199</v>
      </c>
      <c r="D47" s="21">
        <v>10</v>
      </c>
      <c r="E47" s="21">
        <v>15</v>
      </c>
      <c r="F47" s="21">
        <v>13</v>
      </c>
      <c r="G47" s="21">
        <v>92.5</v>
      </c>
    </row>
    <row r="48" spans="1:7" x14ac:dyDescent="0.25">
      <c r="A48" s="18" t="s">
        <v>162</v>
      </c>
      <c r="B48" s="19">
        <v>600</v>
      </c>
      <c r="C48" s="19">
        <v>200</v>
      </c>
      <c r="D48" s="19">
        <v>11</v>
      </c>
      <c r="E48" s="19">
        <v>17</v>
      </c>
      <c r="F48" s="19">
        <v>13</v>
      </c>
      <c r="G48" s="19">
        <v>103</v>
      </c>
    </row>
    <row r="49" spans="1:7" x14ac:dyDescent="0.25">
      <c r="A49" s="20" t="s">
        <v>163</v>
      </c>
      <c r="B49" s="21">
        <v>582</v>
      </c>
      <c r="C49" s="21">
        <v>300</v>
      </c>
      <c r="D49" s="21">
        <v>12</v>
      </c>
      <c r="E49" s="21">
        <v>17</v>
      </c>
      <c r="F49" s="21">
        <v>13</v>
      </c>
      <c r="G49" s="21">
        <v>133</v>
      </c>
    </row>
    <row r="50" spans="1:7" x14ac:dyDescent="0.25">
      <c r="A50" s="18" t="s">
        <v>164</v>
      </c>
      <c r="B50" s="19">
        <v>588</v>
      </c>
      <c r="C50" s="19">
        <v>300</v>
      </c>
      <c r="D50" s="19">
        <v>12</v>
      </c>
      <c r="E50" s="19">
        <v>20</v>
      </c>
      <c r="F50" s="19">
        <v>13</v>
      </c>
      <c r="G50" s="19">
        <v>147</v>
      </c>
    </row>
    <row r="51" spans="1:7" x14ac:dyDescent="0.25">
      <c r="A51" s="20" t="s">
        <v>165</v>
      </c>
      <c r="B51" s="21">
        <v>594</v>
      </c>
      <c r="C51" s="21">
        <v>302</v>
      </c>
      <c r="D51" s="21">
        <v>14</v>
      </c>
      <c r="E51" s="21">
        <v>23</v>
      </c>
      <c r="F51" s="21">
        <v>13</v>
      </c>
      <c r="G51" s="21">
        <v>170</v>
      </c>
    </row>
    <row r="52" spans="1:7" x14ac:dyDescent="0.25">
      <c r="A52" s="18" t="s">
        <v>166</v>
      </c>
      <c r="B52" s="19">
        <v>692</v>
      </c>
      <c r="C52" s="19">
        <v>300</v>
      </c>
      <c r="D52" s="19">
        <v>13</v>
      </c>
      <c r="E52" s="19">
        <v>20</v>
      </c>
      <c r="F52" s="19">
        <v>18</v>
      </c>
      <c r="G52" s="19">
        <v>163</v>
      </c>
    </row>
    <row r="53" spans="1:7" x14ac:dyDescent="0.25">
      <c r="A53" s="20" t="s">
        <v>167</v>
      </c>
      <c r="B53" s="21">
        <v>700</v>
      </c>
      <c r="C53" s="21">
        <v>300</v>
      </c>
      <c r="D53" s="21">
        <v>13</v>
      </c>
      <c r="E53" s="21">
        <v>24</v>
      </c>
      <c r="F53" s="21">
        <v>18</v>
      </c>
      <c r="G53" s="21">
        <v>182</v>
      </c>
    </row>
    <row r="54" spans="1:7" x14ac:dyDescent="0.25">
      <c r="A54" s="18" t="s">
        <v>168</v>
      </c>
      <c r="B54" s="19">
        <v>792</v>
      </c>
      <c r="C54" s="19">
        <v>300</v>
      </c>
      <c r="D54" s="19">
        <v>14</v>
      </c>
      <c r="E54" s="19">
        <v>22</v>
      </c>
      <c r="F54" s="19">
        <v>18</v>
      </c>
      <c r="G54" s="19">
        <v>188</v>
      </c>
    </row>
    <row r="55" spans="1:7" x14ac:dyDescent="0.25">
      <c r="A55" s="20" t="s">
        <v>169</v>
      </c>
      <c r="B55" s="21">
        <v>800</v>
      </c>
      <c r="C55" s="21">
        <v>300</v>
      </c>
      <c r="D55" s="21">
        <v>14</v>
      </c>
      <c r="E55" s="21">
        <v>26</v>
      </c>
      <c r="F55" s="21">
        <v>18</v>
      </c>
      <c r="G55" s="21">
        <v>207</v>
      </c>
    </row>
    <row r="56" spans="1:7" x14ac:dyDescent="0.25">
      <c r="A56" s="18" t="s">
        <v>170</v>
      </c>
      <c r="B56" s="19">
        <v>890</v>
      </c>
      <c r="C56" s="19">
        <v>299</v>
      </c>
      <c r="D56" s="19">
        <v>15</v>
      </c>
      <c r="E56" s="19">
        <v>23</v>
      </c>
      <c r="F56" s="19">
        <v>18</v>
      </c>
      <c r="G56" s="19">
        <v>210</v>
      </c>
    </row>
    <row r="57" spans="1:7" x14ac:dyDescent="0.25">
      <c r="A57" s="20" t="s">
        <v>171</v>
      </c>
      <c r="B57" s="21">
        <v>900</v>
      </c>
      <c r="C57" s="21">
        <v>300</v>
      </c>
      <c r="D57" s="21">
        <v>16</v>
      </c>
      <c r="E57" s="21">
        <v>28</v>
      </c>
      <c r="F57" s="21">
        <v>18</v>
      </c>
      <c r="G57" s="21">
        <v>240</v>
      </c>
    </row>
    <row r="58" spans="1:7" x14ac:dyDescent="0.25">
      <c r="A58" s="18" t="s">
        <v>172</v>
      </c>
      <c r="B58" s="19">
        <v>912</v>
      </c>
      <c r="C58" s="19">
        <v>302</v>
      </c>
      <c r="D58" s="19">
        <v>18</v>
      </c>
      <c r="E58" s="19">
        <v>34</v>
      </c>
      <c r="F58" s="19">
        <v>18</v>
      </c>
      <c r="G58" s="19">
        <v>283</v>
      </c>
    </row>
    <row r="59" spans="1:7" x14ac:dyDescent="0.25">
      <c r="A59" s="20" t="s">
        <v>173</v>
      </c>
      <c r="B59" s="21">
        <v>918</v>
      </c>
      <c r="C59" s="21">
        <v>303</v>
      </c>
      <c r="D59" s="21">
        <v>19</v>
      </c>
      <c r="E59" s="21">
        <v>37</v>
      </c>
      <c r="F59" s="21">
        <v>18</v>
      </c>
      <c r="G59" s="21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</cols>
  <sheetData>
    <row r="1" spans="1:7" x14ac:dyDescent="0.25">
      <c r="A1" s="16" t="s">
        <v>27</v>
      </c>
      <c r="B1" s="17" t="s">
        <v>28</v>
      </c>
      <c r="C1" s="17" t="s">
        <v>6</v>
      </c>
      <c r="D1" s="17" t="s">
        <v>29</v>
      </c>
      <c r="E1" s="17" t="s">
        <v>30</v>
      </c>
      <c r="F1" s="17" t="s">
        <v>31</v>
      </c>
      <c r="G1" s="17" t="s">
        <v>10</v>
      </c>
    </row>
    <row r="2" spans="1:7" x14ac:dyDescent="0.25">
      <c r="A2" s="18" t="s">
        <v>174</v>
      </c>
      <c r="B2" s="19">
        <v>25</v>
      </c>
      <c r="C2" s="19">
        <v>25</v>
      </c>
      <c r="D2" s="19">
        <v>3</v>
      </c>
      <c r="E2" s="19">
        <v>4</v>
      </c>
      <c r="F2" s="19">
        <v>2</v>
      </c>
      <c r="G2" s="19">
        <v>1.12</v>
      </c>
    </row>
    <row r="3" spans="1:7" x14ac:dyDescent="0.25">
      <c r="A3" s="20" t="s">
        <v>175</v>
      </c>
      <c r="B3" s="21">
        <v>30</v>
      </c>
      <c r="C3" s="21">
        <v>30</v>
      </c>
      <c r="D3" s="21">
        <v>3</v>
      </c>
      <c r="E3" s="21">
        <v>4</v>
      </c>
      <c r="F3" s="21">
        <v>2</v>
      </c>
      <c r="G3" s="21">
        <v>1.36</v>
      </c>
    </row>
    <row r="4" spans="1:7" x14ac:dyDescent="0.25">
      <c r="A4" s="18" t="s">
        <v>176</v>
      </c>
      <c r="B4" s="19">
        <v>40</v>
      </c>
      <c r="C4" s="19">
        <v>40</v>
      </c>
      <c r="D4" s="19">
        <v>3</v>
      </c>
      <c r="E4" s="19">
        <v>4.5</v>
      </c>
      <c r="F4" s="19">
        <v>2</v>
      </c>
      <c r="G4" s="19">
        <v>1.83</v>
      </c>
    </row>
    <row r="5" spans="1:7" x14ac:dyDescent="0.25">
      <c r="A5" s="20" t="s">
        <v>177</v>
      </c>
      <c r="B5" s="21">
        <v>40</v>
      </c>
      <c r="C5" s="21">
        <v>40</v>
      </c>
      <c r="D5" s="21">
        <v>5</v>
      </c>
      <c r="E5" s="21">
        <v>4.5</v>
      </c>
      <c r="F5" s="21">
        <v>3</v>
      </c>
      <c r="G5" s="21">
        <v>2.95</v>
      </c>
    </row>
    <row r="6" spans="1:7" x14ac:dyDescent="0.25">
      <c r="A6" s="18" t="s">
        <v>178</v>
      </c>
      <c r="B6" s="19">
        <v>45</v>
      </c>
      <c r="C6" s="19">
        <v>45</v>
      </c>
      <c r="D6" s="19">
        <v>4</v>
      </c>
      <c r="E6" s="19">
        <v>6.5</v>
      </c>
      <c r="F6" s="19">
        <v>3</v>
      </c>
      <c r="G6" s="19">
        <v>2.74</v>
      </c>
    </row>
    <row r="7" spans="1:7" x14ac:dyDescent="0.25">
      <c r="A7" s="20" t="s">
        <v>179</v>
      </c>
      <c r="B7" s="21">
        <v>45</v>
      </c>
      <c r="C7" s="21">
        <v>45</v>
      </c>
      <c r="D7" s="21">
        <v>5</v>
      </c>
      <c r="E7" s="21">
        <v>6.5</v>
      </c>
      <c r="F7" s="21">
        <v>3</v>
      </c>
      <c r="G7" s="21">
        <v>3.38</v>
      </c>
    </row>
    <row r="8" spans="1:7" x14ac:dyDescent="0.25">
      <c r="A8" s="18" t="s">
        <v>180</v>
      </c>
      <c r="B8" s="19">
        <v>50</v>
      </c>
      <c r="C8" s="19">
        <v>50</v>
      </c>
      <c r="D8" s="19">
        <v>4</v>
      </c>
      <c r="E8" s="19">
        <v>6.5</v>
      </c>
      <c r="F8" s="19">
        <v>3</v>
      </c>
      <c r="G8" s="19">
        <v>3.06</v>
      </c>
    </row>
    <row r="9" spans="1:7" x14ac:dyDescent="0.25">
      <c r="A9" s="20" t="s">
        <v>181</v>
      </c>
      <c r="B9" s="21">
        <v>50</v>
      </c>
      <c r="C9" s="21">
        <v>50</v>
      </c>
      <c r="D9" s="21">
        <v>5</v>
      </c>
      <c r="E9" s="21">
        <v>6.5</v>
      </c>
      <c r="F9" s="21">
        <v>3</v>
      </c>
      <c r="G9" s="21">
        <v>3.77</v>
      </c>
    </row>
    <row r="10" spans="1:7" x14ac:dyDescent="0.25">
      <c r="A10" s="18" t="s">
        <v>182</v>
      </c>
      <c r="B10" s="19">
        <v>50</v>
      </c>
      <c r="C10" s="19">
        <v>50</v>
      </c>
      <c r="D10" s="19">
        <v>6</v>
      </c>
      <c r="E10" s="19">
        <v>6.5</v>
      </c>
      <c r="F10" s="19">
        <v>4.5</v>
      </c>
      <c r="G10" s="19">
        <v>4.46</v>
      </c>
    </row>
    <row r="11" spans="1:7" x14ac:dyDescent="0.25">
      <c r="A11" s="20" t="s">
        <v>183</v>
      </c>
      <c r="B11" s="21">
        <v>60</v>
      </c>
      <c r="C11" s="21">
        <v>60</v>
      </c>
      <c r="D11" s="21">
        <v>4</v>
      </c>
      <c r="E11" s="21">
        <v>6.5</v>
      </c>
      <c r="F11" s="21">
        <v>3</v>
      </c>
      <c r="G11" s="21">
        <v>3.68</v>
      </c>
    </row>
    <row r="12" spans="1:7" x14ac:dyDescent="0.25">
      <c r="A12" s="18" t="s">
        <v>184</v>
      </c>
      <c r="B12" s="19">
        <v>60</v>
      </c>
      <c r="C12" s="19">
        <v>60</v>
      </c>
      <c r="D12" s="19">
        <v>5</v>
      </c>
      <c r="E12" s="19">
        <v>6.5</v>
      </c>
      <c r="F12" s="19">
        <v>3</v>
      </c>
      <c r="G12" s="19">
        <v>4.55</v>
      </c>
    </row>
    <row r="13" spans="1:7" x14ac:dyDescent="0.25">
      <c r="A13" s="20" t="s">
        <v>185</v>
      </c>
      <c r="B13" s="21">
        <v>65</v>
      </c>
      <c r="C13" s="21">
        <v>65</v>
      </c>
      <c r="D13" s="21">
        <v>5</v>
      </c>
      <c r="E13" s="21">
        <v>8.5</v>
      </c>
      <c r="F13" s="21">
        <v>3</v>
      </c>
      <c r="G13" s="21">
        <v>5</v>
      </c>
    </row>
    <row r="14" spans="1:7" x14ac:dyDescent="0.25">
      <c r="A14" s="18" t="s">
        <v>186</v>
      </c>
      <c r="B14" s="19">
        <v>65</v>
      </c>
      <c r="C14" s="19">
        <v>65</v>
      </c>
      <c r="D14" s="19">
        <v>6</v>
      </c>
      <c r="E14" s="19">
        <v>8.5</v>
      </c>
      <c r="F14" s="19">
        <v>4</v>
      </c>
      <c r="G14" s="19">
        <v>5.91</v>
      </c>
    </row>
    <row r="15" spans="1:7" x14ac:dyDescent="0.25">
      <c r="A15" s="20" t="s">
        <v>33</v>
      </c>
      <c r="B15" s="21">
        <v>65</v>
      </c>
      <c r="C15" s="21">
        <v>65</v>
      </c>
      <c r="D15" s="21">
        <v>8</v>
      </c>
      <c r="E15" s="21">
        <v>8.5</v>
      </c>
      <c r="F15" s="21">
        <v>6</v>
      </c>
      <c r="G15" s="21">
        <v>7.66</v>
      </c>
    </row>
    <row r="16" spans="1:7" x14ac:dyDescent="0.25">
      <c r="A16" s="18" t="s">
        <v>187</v>
      </c>
      <c r="B16" s="19">
        <v>70</v>
      </c>
      <c r="C16" s="19">
        <v>70</v>
      </c>
      <c r="D16" s="19">
        <v>6</v>
      </c>
      <c r="E16" s="19">
        <v>8.5</v>
      </c>
      <c r="F16" s="19">
        <v>4</v>
      </c>
      <c r="G16" s="19">
        <v>6.38</v>
      </c>
    </row>
    <row r="17" spans="1:7" x14ac:dyDescent="0.25">
      <c r="A17" s="20" t="s">
        <v>188</v>
      </c>
      <c r="B17" s="21">
        <v>75</v>
      </c>
      <c r="C17" s="21">
        <v>75</v>
      </c>
      <c r="D17" s="21">
        <v>6</v>
      </c>
      <c r="E17" s="21">
        <v>8.5</v>
      </c>
      <c r="F17" s="21">
        <v>4</v>
      </c>
      <c r="G17" s="21">
        <v>6.85</v>
      </c>
    </row>
    <row r="18" spans="1:7" x14ac:dyDescent="0.25">
      <c r="A18" s="18" t="s">
        <v>189</v>
      </c>
      <c r="B18" s="19">
        <v>75</v>
      </c>
      <c r="C18" s="19">
        <v>75</v>
      </c>
      <c r="D18" s="19">
        <v>9</v>
      </c>
      <c r="E18" s="19">
        <v>8.5</v>
      </c>
      <c r="F18" s="19">
        <v>6</v>
      </c>
      <c r="G18" s="19">
        <v>9.96</v>
      </c>
    </row>
    <row r="19" spans="1:7" x14ac:dyDescent="0.25">
      <c r="A19" s="20" t="s">
        <v>190</v>
      </c>
      <c r="B19" s="21">
        <v>75</v>
      </c>
      <c r="C19" s="21">
        <v>75</v>
      </c>
      <c r="D19" s="21">
        <v>12</v>
      </c>
      <c r="E19" s="21">
        <v>8.5</v>
      </c>
      <c r="F19" s="21">
        <v>6</v>
      </c>
      <c r="G19" s="21">
        <v>13</v>
      </c>
    </row>
    <row r="20" spans="1:7" x14ac:dyDescent="0.25">
      <c r="A20" s="18" t="s">
        <v>191</v>
      </c>
      <c r="B20" s="19">
        <v>80</v>
      </c>
      <c r="C20" s="19">
        <v>80</v>
      </c>
      <c r="D20" s="19">
        <v>6</v>
      </c>
      <c r="E20" s="19">
        <v>8.5</v>
      </c>
      <c r="F20" s="19">
        <v>4</v>
      </c>
      <c r="G20" s="19">
        <v>7.32</v>
      </c>
    </row>
    <row r="21" spans="1:7" x14ac:dyDescent="0.25">
      <c r="A21" s="20" t="s">
        <v>192</v>
      </c>
      <c r="B21" s="21">
        <v>90</v>
      </c>
      <c r="C21" s="21">
        <v>90</v>
      </c>
      <c r="D21" s="21">
        <v>6</v>
      </c>
      <c r="E21" s="21">
        <v>10</v>
      </c>
      <c r="F21" s="21">
        <v>5</v>
      </c>
      <c r="G21" s="21">
        <v>8.28</v>
      </c>
    </row>
    <row r="22" spans="1:7" x14ac:dyDescent="0.25">
      <c r="A22" s="18" t="s">
        <v>193</v>
      </c>
      <c r="B22" s="19">
        <v>90</v>
      </c>
      <c r="C22" s="19">
        <v>90</v>
      </c>
      <c r="D22" s="19">
        <v>7</v>
      </c>
      <c r="E22" s="19">
        <v>10</v>
      </c>
      <c r="F22" s="19">
        <v>5</v>
      </c>
      <c r="G22" s="19">
        <v>9.59</v>
      </c>
    </row>
    <row r="23" spans="1:7" x14ac:dyDescent="0.25">
      <c r="A23" s="20" t="s">
        <v>194</v>
      </c>
      <c r="B23" s="21">
        <v>90</v>
      </c>
      <c r="C23" s="21">
        <v>90</v>
      </c>
      <c r="D23" s="21">
        <v>10</v>
      </c>
      <c r="E23" s="21">
        <v>10</v>
      </c>
      <c r="F23" s="21">
        <v>7</v>
      </c>
      <c r="G23" s="21">
        <v>13.3</v>
      </c>
    </row>
    <row r="24" spans="1:7" x14ac:dyDescent="0.25">
      <c r="A24" s="18" t="s">
        <v>195</v>
      </c>
      <c r="B24" s="19">
        <v>90</v>
      </c>
      <c r="C24" s="19">
        <v>90</v>
      </c>
      <c r="D24" s="19">
        <v>13</v>
      </c>
      <c r="E24" s="19">
        <v>10</v>
      </c>
      <c r="F24" s="19">
        <v>7</v>
      </c>
      <c r="G24" s="19">
        <v>17</v>
      </c>
    </row>
    <row r="25" spans="1:7" x14ac:dyDescent="0.25">
      <c r="A25" s="20" t="s">
        <v>196</v>
      </c>
      <c r="B25" s="21">
        <v>100</v>
      </c>
      <c r="C25" s="21">
        <v>100</v>
      </c>
      <c r="D25" s="21">
        <v>7</v>
      </c>
      <c r="E25" s="21">
        <v>10</v>
      </c>
      <c r="F25" s="21">
        <v>5</v>
      </c>
      <c r="G25" s="21">
        <v>10.7</v>
      </c>
    </row>
    <row r="26" spans="1:7" x14ac:dyDescent="0.25">
      <c r="A26" s="18" t="s">
        <v>197</v>
      </c>
      <c r="B26" s="19">
        <v>100</v>
      </c>
      <c r="C26" s="19">
        <v>100</v>
      </c>
      <c r="D26" s="19">
        <v>10</v>
      </c>
      <c r="E26" s="19">
        <v>10</v>
      </c>
      <c r="F26" s="19">
        <v>7</v>
      </c>
      <c r="G26" s="19">
        <v>14.9</v>
      </c>
    </row>
    <row r="27" spans="1:7" x14ac:dyDescent="0.25">
      <c r="A27" s="20" t="s">
        <v>198</v>
      </c>
      <c r="B27" s="21">
        <v>100</v>
      </c>
      <c r="C27" s="21">
        <v>100</v>
      </c>
      <c r="D27" s="21">
        <v>13</v>
      </c>
      <c r="E27" s="21">
        <v>10</v>
      </c>
      <c r="F27" s="21">
        <v>7</v>
      </c>
      <c r="G27" s="21">
        <v>19.1</v>
      </c>
    </row>
    <row r="28" spans="1:7" x14ac:dyDescent="0.25">
      <c r="A28" s="18" t="s">
        <v>199</v>
      </c>
      <c r="B28" s="19">
        <v>120</v>
      </c>
      <c r="C28" s="19">
        <v>120</v>
      </c>
      <c r="D28" s="19">
        <v>8</v>
      </c>
      <c r="E28" s="19">
        <v>12</v>
      </c>
      <c r="F28" s="19">
        <v>5</v>
      </c>
      <c r="G28" s="19">
        <v>14.7</v>
      </c>
    </row>
    <row r="29" spans="1:7" x14ac:dyDescent="0.25">
      <c r="A29" s="20" t="s">
        <v>200</v>
      </c>
      <c r="B29" s="21">
        <v>130</v>
      </c>
      <c r="C29" s="21">
        <v>130</v>
      </c>
      <c r="D29" s="21">
        <v>9</v>
      </c>
      <c r="E29" s="21">
        <v>12</v>
      </c>
      <c r="F29" s="21">
        <v>6</v>
      </c>
      <c r="G29" s="21">
        <v>17.9</v>
      </c>
    </row>
    <row r="30" spans="1:7" x14ac:dyDescent="0.25">
      <c r="A30" s="18" t="s">
        <v>201</v>
      </c>
      <c r="B30" s="19">
        <v>130</v>
      </c>
      <c r="C30" s="19">
        <v>130</v>
      </c>
      <c r="D30" s="19">
        <v>12</v>
      </c>
      <c r="E30" s="19">
        <v>12</v>
      </c>
      <c r="F30" s="19">
        <v>8.5</v>
      </c>
      <c r="G30" s="19">
        <v>23.4</v>
      </c>
    </row>
    <row r="31" spans="1:7" x14ac:dyDescent="0.25">
      <c r="A31" s="20" t="s">
        <v>202</v>
      </c>
      <c r="B31" s="21">
        <v>130</v>
      </c>
      <c r="C31" s="21">
        <v>130</v>
      </c>
      <c r="D31" s="21">
        <v>15</v>
      </c>
      <c r="E31" s="21">
        <v>12</v>
      </c>
      <c r="F31" s="21">
        <v>8.5</v>
      </c>
      <c r="G31" s="21">
        <v>28.8</v>
      </c>
    </row>
    <row r="32" spans="1:7" x14ac:dyDescent="0.25">
      <c r="A32" s="18" t="s">
        <v>203</v>
      </c>
      <c r="B32" s="19">
        <v>150</v>
      </c>
      <c r="C32" s="19">
        <v>150</v>
      </c>
      <c r="D32" s="19">
        <v>12</v>
      </c>
      <c r="E32" s="19">
        <v>14</v>
      </c>
      <c r="F32" s="19">
        <v>7</v>
      </c>
      <c r="G32" s="19">
        <v>27.3</v>
      </c>
    </row>
    <row r="33" spans="1:7" x14ac:dyDescent="0.25">
      <c r="A33" s="20" t="s">
        <v>204</v>
      </c>
      <c r="B33" s="21">
        <v>150</v>
      </c>
      <c r="C33" s="21">
        <v>150</v>
      </c>
      <c r="D33" s="21">
        <v>15</v>
      </c>
      <c r="E33" s="21">
        <v>14</v>
      </c>
      <c r="F33" s="21">
        <v>10</v>
      </c>
      <c r="G33" s="21">
        <v>33.6</v>
      </c>
    </row>
    <row r="34" spans="1:7" x14ac:dyDescent="0.25">
      <c r="A34" s="18" t="s">
        <v>205</v>
      </c>
      <c r="B34" s="19">
        <v>150</v>
      </c>
      <c r="C34" s="19">
        <v>150</v>
      </c>
      <c r="D34" s="19">
        <v>19</v>
      </c>
      <c r="E34" s="19">
        <v>14</v>
      </c>
      <c r="F34" s="19">
        <v>10</v>
      </c>
      <c r="G34" s="19">
        <v>41.9</v>
      </c>
    </row>
    <row r="35" spans="1:7" x14ac:dyDescent="0.25">
      <c r="A35" s="20" t="s">
        <v>206</v>
      </c>
      <c r="B35" s="21">
        <v>175</v>
      </c>
      <c r="C35" s="21">
        <v>175</v>
      </c>
      <c r="D35" s="21">
        <v>12</v>
      </c>
      <c r="E35" s="21">
        <v>15</v>
      </c>
      <c r="F35" s="21">
        <v>11</v>
      </c>
      <c r="G35" s="21">
        <v>31.8</v>
      </c>
    </row>
    <row r="36" spans="1:7" x14ac:dyDescent="0.25">
      <c r="A36" s="18" t="s">
        <v>207</v>
      </c>
      <c r="B36" s="19">
        <v>175</v>
      </c>
      <c r="C36" s="19">
        <v>175</v>
      </c>
      <c r="D36" s="19">
        <v>15</v>
      </c>
      <c r="E36" s="19">
        <v>15</v>
      </c>
      <c r="F36" s="19">
        <v>11</v>
      </c>
      <c r="G36" s="19">
        <v>39.4</v>
      </c>
    </row>
    <row r="37" spans="1:7" x14ac:dyDescent="0.25">
      <c r="A37" s="20" t="s">
        <v>208</v>
      </c>
      <c r="B37" s="21">
        <v>200</v>
      </c>
      <c r="C37" s="21">
        <v>200</v>
      </c>
      <c r="D37" s="21">
        <v>15</v>
      </c>
      <c r="E37" s="21">
        <v>17</v>
      </c>
      <c r="F37" s="21">
        <v>12</v>
      </c>
      <c r="G37" s="21">
        <v>45.3</v>
      </c>
    </row>
    <row r="38" spans="1:7" x14ac:dyDescent="0.25">
      <c r="A38" s="18" t="s">
        <v>209</v>
      </c>
      <c r="B38" s="19">
        <v>200</v>
      </c>
      <c r="C38" s="19">
        <v>200</v>
      </c>
      <c r="D38" s="19">
        <v>20</v>
      </c>
      <c r="E38" s="19">
        <v>17</v>
      </c>
      <c r="F38" s="19">
        <v>12</v>
      </c>
      <c r="G38" s="19">
        <v>59.7</v>
      </c>
    </row>
    <row r="39" spans="1:7" x14ac:dyDescent="0.25">
      <c r="A39" s="20" t="s">
        <v>210</v>
      </c>
      <c r="B39" s="21">
        <v>200</v>
      </c>
      <c r="C39" s="21">
        <v>200</v>
      </c>
      <c r="D39" s="21">
        <v>25</v>
      </c>
      <c r="E39" s="21">
        <v>17</v>
      </c>
      <c r="F39" s="21">
        <v>12</v>
      </c>
      <c r="G39" s="21">
        <v>73.6</v>
      </c>
    </row>
    <row r="40" spans="1:7" x14ac:dyDescent="0.25">
      <c r="A40" s="18" t="s">
        <v>211</v>
      </c>
      <c r="B40" s="19">
        <v>250</v>
      </c>
      <c r="C40" s="19">
        <v>250</v>
      </c>
      <c r="D40" s="19">
        <v>25</v>
      </c>
      <c r="E40" s="19">
        <v>24</v>
      </c>
      <c r="F40" s="19">
        <v>12</v>
      </c>
      <c r="G40" s="19">
        <v>93.7</v>
      </c>
    </row>
    <row r="41" spans="1:7" x14ac:dyDescent="0.25">
      <c r="A41" s="20" t="s">
        <v>212</v>
      </c>
      <c r="B41" s="21">
        <v>250</v>
      </c>
      <c r="C41" s="21">
        <v>250</v>
      </c>
      <c r="D41" s="21">
        <v>35</v>
      </c>
      <c r="E41" s="21">
        <v>24</v>
      </c>
      <c r="F41" s="21">
        <v>18</v>
      </c>
      <c r="G41" s="21">
        <v>128</v>
      </c>
    </row>
    <row r="42" spans="1:7" x14ac:dyDescent="0.25">
      <c r="A42" s="18" t="s">
        <v>213</v>
      </c>
      <c r="B42" s="19">
        <v>50</v>
      </c>
      <c r="C42" s="19">
        <v>30</v>
      </c>
      <c r="D42" s="19">
        <v>3</v>
      </c>
      <c r="E42" s="19">
        <v>6</v>
      </c>
      <c r="F42" s="19">
        <v>2</v>
      </c>
      <c r="G42" s="19">
        <v>1.83</v>
      </c>
    </row>
    <row r="43" spans="1:7" x14ac:dyDescent="0.25">
      <c r="A43" s="20" t="s">
        <v>214</v>
      </c>
      <c r="B43" s="21">
        <v>90</v>
      </c>
      <c r="C43" s="21">
        <v>75</v>
      </c>
      <c r="D43" s="21">
        <v>9</v>
      </c>
      <c r="E43" s="21">
        <v>8.5</v>
      </c>
      <c r="F43" s="21">
        <v>6</v>
      </c>
      <c r="G43" s="21">
        <v>11</v>
      </c>
    </row>
    <row r="44" spans="1:7" x14ac:dyDescent="0.25">
      <c r="A44" s="18" t="s">
        <v>215</v>
      </c>
      <c r="B44" s="19">
        <v>100</v>
      </c>
      <c r="C44" s="19">
        <v>75</v>
      </c>
      <c r="D44" s="19">
        <v>7</v>
      </c>
      <c r="E44" s="19">
        <v>10</v>
      </c>
      <c r="F44" s="19">
        <v>5</v>
      </c>
      <c r="G44" s="19">
        <v>9.32</v>
      </c>
    </row>
    <row r="45" spans="1:7" x14ac:dyDescent="0.25">
      <c r="A45" s="20" t="s">
        <v>216</v>
      </c>
      <c r="B45" s="21">
        <v>100</v>
      </c>
      <c r="C45" s="21">
        <v>75</v>
      </c>
      <c r="D45" s="21">
        <v>10</v>
      </c>
      <c r="E45" s="21">
        <v>10</v>
      </c>
      <c r="F45" s="21">
        <v>7</v>
      </c>
      <c r="G45" s="21">
        <v>13</v>
      </c>
    </row>
    <row r="46" spans="1:7" x14ac:dyDescent="0.25">
      <c r="A46" s="18" t="s">
        <v>217</v>
      </c>
      <c r="B46" s="19">
        <v>125</v>
      </c>
      <c r="C46" s="19">
        <v>75</v>
      </c>
      <c r="D46" s="19">
        <v>7</v>
      </c>
      <c r="E46" s="19">
        <v>10</v>
      </c>
      <c r="F46" s="19">
        <v>5</v>
      </c>
      <c r="G46" s="19">
        <v>10.7</v>
      </c>
    </row>
    <row r="47" spans="1:7" x14ac:dyDescent="0.25">
      <c r="A47" s="20" t="s">
        <v>218</v>
      </c>
      <c r="B47" s="21">
        <v>125</v>
      </c>
      <c r="C47" s="21">
        <v>75</v>
      </c>
      <c r="D47" s="21">
        <v>13</v>
      </c>
      <c r="E47" s="21">
        <v>10</v>
      </c>
      <c r="F47" s="21">
        <v>7</v>
      </c>
      <c r="G47" s="21">
        <v>19.1</v>
      </c>
    </row>
    <row r="48" spans="1:7" x14ac:dyDescent="0.25">
      <c r="A48" s="18" t="s">
        <v>219</v>
      </c>
      <c r="B48" s="19">
        <v>125</v>
      </c>
      <c r="C48" s="19">
        <v>90</v>
      </c>
      <c r="D48" s="19">
        <v>10</v>
      </c>
      <c r="E48" s="19">
        <v>10</v>
      </c>
      <c r="F48" s="19">
        <v>7</v>
      </c>
      <c r="G48" s="19">
        <v>16.1</v>
      </c>
    </row>
    <row r="49" spans="1:7" x14ac:dyDescent="0.25">
      <c r="A49" s="20" t="s">
        <v>220</v>
      </c>
      <c r="B49" s="21">
        <v>125</v>
      </c>
      <c r="C49" s="21">
        <v>90</v>
      </c>
      <c r="D49" s="21">
        <v>13</v>
      </c>
      <c r="E49" s="21">
        <v>10</v>
      </c>
      <c r="F49" s="21">
        <v>7</v>
      </c>
      <c r="G49" s="21">
        <v>20.6</v>
      </c>
    </row>
    <row r="50" spans="1:7" x14ac:dyDescent="0.25">
      <c r="A50" s="18" t="s">
        <v>221</v>
      </c>
      <c r="B50" s="19">
        <v>150</v>
      </c>
      <c r="C50" s="19">
        <v>90</v>
      </c>
      <c r="D50" s="19">
        <v>9</v>
      </c>
      <c r="E50" s="19">
        <v>12</v>
      </c>
      <c r="F50" s="19">
        <v>6</v>
      </c>
      <c r="G50" s="19">
        <v>16.4</v>
      </c>
    </row>
    <row r="51" spans="1:7" x14ac:dyDescent="0.25">
      <c r="A51" s="20" t="s">
        <v>222</v>
      </c>
      <c r="B51" s="21">
        <v>150</v>
      </c>
      <c r="C51" s="21">
        <v>90</v>
      </c>
      <c r="D51" s="21">
        <v>12</v>
      </c>
      <c r="E51" s="21">
        <v>12</v>
      </c>
      <c r="F51" s="21">
        <v>8.5</v>
      </c>
      <c r="G51" s="21">
        <v>21.5</v>
      </c>
    </row>
    <row r="52" spans="1:7" x14ac:dyDescent="0.25">
      <c r="A52" s="18" t="s">
        <v>223</v>
      </c>
      <c r="B52" s="19">
        <v>150</v>
      </c>
      <c r="C52" s="19">
        <v>100</v>
      </c>
      <c r="D52" s="19">
        <v>9</v>
      </c>
      <c r="E52" s="19">
        <v>12</v>
      </c>
      <c r="F52" s="19">
        <v>6</v>
      </c>
      <c r="G52" s="19">
        <v>17.1</v>
      </c>
    </row>
    <row r="53" spans="1:7" x14ac:dyDescent="0.25">
      <c r="A53" s="20" t="s">
        <v>224</v>
      </c>
      <c r="B53" s="21">
        <v>150</v>
      </c>
      <c r="C53" s="21">
        <v>100</v>
      </c>
      <c r="D53" s="21">
        <v>12</v>
      </c>
      <c r="E53" s="21">
        <v>12</v>
      </c>
      <c r="F53" s="21">
        <v>8.5</v>
      </c>
      <c r="G53" s="21">
        <v>22.4</v>
      </c>
    </row>
    <row r="54" spans="1:7" x14ac:dyDescent="0.25">
      <c r="A54" s="18" t="s">
        <v>225</v>
      </c>
      <c r="B54" s="19">
        <v>150</v>
      </c>
      <c r="C54" s="19">
        <v>100</v>
      </c>
      <c r="D54" s="19">
        <v>15</v>
      </c>
      <c r="E54" s="19">
        <v>12</v>
      </c>
      <c r="F54" s="19">
        <v>8.5</v>
      </c>
      <c r="G54" s="19">
        <v>27.7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</vt:lpstr>
      <vt:lpstr>input</vt:lpstr>
      <vt:lpstr>SECT</vt:lpstr>
      <vt:lpstr>ANGLE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PLATE3D</dc:creator>
  <dc:title/>
  <dc:subject/>
  <dc:description/>
  <cp:keywords/>
  <cp:category/>
  <cp:lastModifiedBy>Unknown</cp:lastModifiedBy>
  <dcterms:created xsi:type="dcterms:W3CDTF">2026-08-23T15:21:48Z</dcterms:created>
  <dcterms:modified xsi:type="dcterms:W3CDTF">2026-08-23T15:21:48Z</dcterms:modified>
</cp:coreProperties>
</file>