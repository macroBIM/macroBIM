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<sst xmlns="http://schemas.openxmlformats.org/spreadsheetml/2006/main" count="2476" uniqueCount="382">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</sst>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25</v>
      </c>
      <c r="E6" s="8">
        <v>1000</v>
      </c>
      <c r="F6" s="8">
        <v>9630</v>
      </c>
      <c r="H6" s="9">
        <f>=PARAM!$E$6+PARAM!$C$6*PARAM!$D$6</f>
        <v>61000</v>
      </c>
      <c r="I6" s="9">
        <f>=PARAM!$H$6+370+PARAM!$F$6</f>
        <v>71000</v>
      </c>
      <c r="J6" s="9">
        <f>=PARAM!$I$6+860</f>
        <v>71860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22</v>
      </c>
      <c r="E12" s="8">
        <v>1900</v>
      </c>
      <c r="F12" s="8">
        <v>1600</v>
      </c>
      <c r="H12" s="9">
        <f>=PARAM!$E$12+PARAM!$C$12*PARAM!$D$12</f>
        <v>67900</v>
      </c>
      <c r="I12" s="9">
        <f>=PARAM!$H$12+PARAM!$F$12</f>
        <v>69500</v>
      </c>
      <c r="J12" s="9">
        <f>=PARAM!$H$6+1140</f>
        <v>62140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36000</v>
      </c>
      <c r="H19" s="9">
        <f>=PARAM!$J$12+1880</f>
        <v>64020</v>
      </c>
      <c r="I19" s="9">
        <f>=PARAM!$H$19-PARAM!$D$19</f>
        <v>28020</v>
      </c>
      <c r="J19" s="9">
        <f>=PARAM!$I$19-1910</f>
        <v>26110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30</v>
      </c>
      <c r="H25" s="14">
        <f>=COS(RADIANS(PARAM!$C$25))</f>
        <v>0.8660254037844387</v>
      </c>
      <c r="I25" s="14">
        <f>=SIN(RADIANS(PARAM!$C$25))</f>
        <v>0.49999999999999994</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36000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36000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36000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36000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31900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31900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31900</v>
      </c>
      <c r="G317">
        <v>-650</v>
      </c>
      <c r="H317" s="18">
        <f>=2310-PARAM!$F$6</f>
        <v>-7320</v>
      </c>
      <c r="I317" s="18">
        <f>=PARAM!$H$12-1500</f>
        <v>66400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31900</v>
      </c>
      <c r="G318">
        <v>650</v>
      </c>
      <c r="H318" s="18">
        <f>=2310-PARAM!$F$6</f>
        <v>-7320</v>
      </c>
      <c r="I318" s="18">
        <f>=PARAM!$H$12-1500</f>
        <v>66400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24</v>
      </c>
    </row>
    <row r="330" spans="1:11" x14ac:dyDescent="0.25">
      <c r="A330" s="15" t="s">
        <v>4</v>
      </c>
      <c r="B330" s="17" t="s">
        <v>371</v>
      </c>
      <c r="C330" t="s">
        <v>376</v>
      </c>
      <c r="D330" t="s">
        <v>242</v>
      </c>
      <c r="E330" t="s">
        <v>373</v>
      </c>
      <c r="F330">
        <v>0</v>
      </c>
      <c r="G330">
        <v>0</v>
      </c>
      <c r="H330" s="18">
        <f>=PARAM!$H$6+60</f>
        <v>61060</v>
      </c>
      <c r="I330">
        <v>0</v>
      </c>
      <c r="J330">
        <v>0</v>
      </c>
      <c r="K330" s="18">
        <f>=PARAM!$C$25</f>
        <v>30</v>
      </c>
    </row>
    <row r="331" spans="1:11" x14ac:dyDescent="0.25">
      <c r="A331" s="15" t="s">
        <v>4</v>
      </c>
      <c r="B331" s="17" t="s">
        <v>371</v>
      </c>
      <c r="C331" t="s">
        <v>376</v>
      </c>
      <c r="D331" t="s">
        <v>246</v>
      </c>
      <c r="E331" t="s">
        <v>373</v>
      </c>
      <c r="F331" s="18">
        <f>=(-800)*PARAM!$H$25-(-800)*PARAM!$I$25</f>
        <v>-292.82032302755107</v>
      </c>
      <c r="G331" s="18">
        <f>=(-800)*PARAM!$I$25+(-800)*PARAM!$H$25</f>
        <v>-1092.820323027551</v>
      </c>
      <c r="H331" s="18">
        <f>=PARAM!$H$6+370</f>
        <v>61370</v>
      </c>
      <c r="I331">
        <v>0</v>
      </c>
      <c r="J331">
        <v>0</v>
      </c>
      <c r="K331" s="18">
        <f>=PARAM!$C$25</f>
        <v>30</v>
      </c>
    </row>
    <row r="332" spans="1:11" x14ac:dyDescent="0.25">
      <c r="A332" s="15" t="s">
        <v>4</v>
      </c>
      <c r="B332" s="17" t="s">
        <v>371</v>
      </c>
      <c r="C332" t="s">
        <v>376</v>
      </c>
      <c r="D332" t="s">
        <v>332</v>
      </c>
      <c r="E332" t="s">
        <v>373</v>
      </c>
      <c r="F332" s="18">
        <f>=(2400)*PARAM!$H$25-(0)*PARAM!$I$25</f>
        <v>2078.460969082653</v>
      </c>
      <c r="G332" s="18">
        <f>=(2400)*PARAM!$I$25+(0)*PARAM!$H$25</f>
        <v>1199.9999999999998</v>
      </c>
      <c r="H332" s="18">
        <f>=PARAM!$H$6+330-2270</f>
        <v>59060</v>
      </c>
      <c r="I332">
        <v>0</v>
      </c>
      <c r="J332">
        <v>0</v>
      </c>
      <c r="K332" s="18">
        <f>=PARAM!$C$25</f>
        <v>30</v>
      </c>
    </row>
    <row r="334" spans="1:11" x14ac:dyDescent="0.25">
      <c r="A334" s="15" t="s">
        <v>4</v>
      </c>
      <c r="B334" s="17" t="s">
        <v>371</v>
      </c>
      <c r="C334" t="s">
        <v>377</v>
      </c>
      <c r="D334" t="s">
        <v>289</v>
      </c>
      <c r="E334" t="s">
        <v>373</v>
      </c>
      <c r="F334" s="18">
        <f>=(PARAM!$E$12)*PARAM!$H$25-(0)*PARAM!$I$25</f>
        <v>1645.4482671904336</v>
      </c>
      <c r="G334" s="18">
        <f>=(PARAM!$E$12)*PARAM!$I$25+(0)*PARAM!$H$25</f>
        <v>949.9999999999999</v>
      </c>
      <c r="H334" s="18">
        <f>=PARAM!$J$12</f>
        <v>62140</v>
      </c>
      <c r="I334">
        <v>0</v>
      </c>
      <c r="J334">
        <v>0</v>
      </c>
      <c r="K334" s="18">
        <f>=PARAM!$C$25</f>
        <v>30</v>
      </c>
    </row>
    <row r="335" spans="1:9" x14ac:dyDescent="0.25">
      <c r="A335" s="15" t="s">
        <v>4</v>
      </c>
      <c r="B335" s="17" t="s">
        <v>371</v>
      </c>
      <c r="C335" t="s">
        <v>377</v>
      </c>
      <c r="D335" t="s">
        <v>377</v>
      </c>
      <c r="E335" t="s">
        <v>375</v>
      </c>
      <c r="F335" s="18">
        <f>=(PARAM!$C$12)*PARAM!$H$25-(0)*PARAM!$I$25</f>
        <v>2598.076211353316</v>
      </c>
      <c r="G335" s="18">
        <f>=(PARAM!$C$12)*PARAM!$I$25+(0)*PARAM!$H$25</f>
        <v>1499.9999999999998</v>
      </c>
      <c r="H335">
        <v>0</v>
      </c>
      <c r="I335" s="18">
        <f>=PARAM!$D$12-1</f>
        <v>21</v>
      </c>
    </row>
    <row r="336" spans="1:11" x14ac:dyDescent="0.25">
      <c r="A336" s="15" t="s">
        <v>4</v>
      </c>
      <c r="B336" s="17" t="s">
        <v>371</v>
      </c>
      <c r="C336" t="s">
        <v>377</v>
      </c>
      <c r="D336" t="s">
        <v>296</v>
      </c>
      <c r="E336" t="s">
        <v>373</v>
      </c>
      <c r="F336" s="18">
        <f>=(PARAM!$H$12+90)*PARAM!$H$25-(0)*PARAM!$I$25</f>
        <v>58881.06720330399</v>
      </c>
      <c r="G336" s="18">
        <f>=(PARAM!$H$12+90)*PARAM!$I$25+(0)*PARAM!$H$25</f>
        <v>33994.99999999999</v>
      </c>
      <c r="H336" s="18">
        <f>=PARAM!$J$12</f>
        <v>62140</v>
      </c>
      <c r="I336">
        <v>0</v>
      </c>
      <c r="J336">
        <v>0</v>
      </c>
      <c r="K336" s="18">
        <f>=PARAM!$C$25</f>
        <v>30</v>
      </c>
    </row>
    <row r="338" spans="1:11" x14ac:dyDescent="0.25">
      <c r="A338" s="15" t="s">
        <v>4</v>
      </c>
      <c r="B338" s="17" t="s">
        <v>371</v>
      </c>
      <c r="C338" t="s">
        <v>378</v>
      </c>
      <c r="D338" t="s">
        <v>297</v>
      </c>
      <c r="E338" t="s">
        <v>373</v>
      </c>
      <c r="F338" s="18">
        <f>=(-PARAM!$E$13)*PARAM!$H$25-(0)*PARAM!$I$25</f>
        <v>-1645.4482671904336</v>
      </c>
      <c r="G338" s="18">
        <f>=(-PARAM!$E$13)*PARAM!$I$25+(0)*PARAM!$H$25</f>
        <v>-949.9999999999999</v>
      </c>
      <c r="H338" s="18">
        <f>=PARAM!$J$12</f>
        <v>62140</v>
      </c>
      <c r="I338">
        <v>0</v>
      </c>
      <c r="J338">
        <v>0</v>
      </c>
      <c r="K338" s="18">
        <f>=180+PARAM!$C$25</f>
        <v>210</v>
      </c>
    </row>
    <row r="339" spans="1:9" x14ac:dyDescent="0.25">
      <c r="A339" s="15" t="s">
        <v>4</v>
      </c>
      <c r="B339" s="17" t="s">
        <v>371</v>
      </c>
      <c r="C339" t="s">
        <v>378</v>
      </c>
      <c r="D339" t="s">
        <v>378</v>
      </c>
      <c r="E339" t="s">
        <v>375</v>
      </c>
      <c r="F339" s="18">
        <f>=(-PARAM!$C$13)*PARAM!$H$25-(0)*PARAM!$I$25</f>
        <v>-2251.666049839541</v>
      </c>
      <c r="G339" s="18">
        <f>=(-PARAM!$C$13)*PARAM!$I$25+(0)*PARAM!$H$25</f>
        <v>-1299.9999999999998</v>
      </c>
      <c r="H339">
        <v>0</v>
      </c>
      <c r="I339" s="18">
        <f>=PARAM!$D$13-1</f>
        <v>4</v>
      </c>
    </row>
    <row r="340" spans="1:11" x14ac:dyDescent="0.25">
      <c r="A340" s="15" t="s">
        <v>4</v>
      </c>
      <c r="B340" s="17" t="s">
        <v>371</v>
      </c>
      <c r="C340" t="s">
        <v>378</v>
      </c>
      <c r="D340" t="s">
        <v>304</v>
      </c>
      <c r="E340" t="s">
        <v>373</v>
      </c>
      <c r="F340" s="18">
        <f>=((-PARAM!$E$13+PARAM!$H$13)/2+600)*PARAM!$H$25-(0)*PARAM!$I$25</f>
        <v>-6754.998149518622</v>
      </c>
      <c r="G340" s="18">
        <f>=((-PARAM!$E$13+PARAM!$H$13)/2+600)*PARAM!$I$25+(0)*PARAM!$H$25</f>
        <v>-3899.9999999999995</v>
      </c>
      <c r="H340" s="18">
        <f>=PARAM!$J$12+1330</f>
        <v>63470</v>
      </c>
      <c r="I340">
        <v>0</v>
      </c>
      <c r="J340">
        <v>0</v>
      </c>
      <c r="K340" s="18">
        <f>=PARAM!$C$25</f>
        <v>30</v>
      </c>
    </row>
    <row r="341" spans="1:11" x14ac:dyDescent="0.25">
      <c r="A341" s="15" t="s">
        <v>4</v>
      </c>
      <c r="B341" s="17" t="s">
        <v>371</v>
      </c>
      <c r="C341" t="s">
        <v>378</v>
      </c>
      <c r="D341" t="s">
        <v>320</v>
      </c>
      <c r="E341" t="s">
        <v>373</v>
      </c>
      <c r="F341" s="18">
        <f>=(PARAM!$H$13+1000)*PARAM!$H$25-(0)*PARAM!$I$25</f>
        <v>-12037.753112603697</v>
      </c>
      <c r="G341" s="18">
        <f>=(PARAM!$H$13+1000)*PARAM!$I$25+(0)*PARAM!$H$25</f>
        <v>-6949.999999999999</v>
      </c>
      <c r="H341" s="18">
        <f>=PARAM!$J$12-1600</f>
        <v>60540</v>
      </c>
      <c r="I341">
        <v>0</v>
      </c>
      <c r="J341">
        <v>0</v>
      </c>
      <c r="K341" s="18">
        <f>=PARAM!$C$25</f>
        <v>30</v>
      </c>
    </row>
    <row r="343" spans="1:11" x14ac:dyDescent="0.25">
      <c r="A343" s="15" t="s">
        <v>4</v>
      </c>
      <c r="B343" s="17" t="s">
        <v>371</v>
      </c>
      <c r="C343" t="s">
        <v>379</v>
      </c>
      <c r="D343" t="s">
        <v>354</v>
      </c>
      <c r="E343" t="s">
        <v>373</v>
      </c>
      <c r="F343">
        <v>0</v>
      </c>
      <c r="G343">
        <v>0</v>
      </c>
      <c r="H343" s="18">
        <f>=PARAM!$I$6+520</f>
        <v>71520</v>
      </c>
      <c r="I343">
        <v>0</v>
      </c>
      <c r="J343">
        <v>0</v>
      </c>
      <c r="K343" s="18">
        <f>=PARAM!$C$25</f>
        <v>30</v>
      </c>
    </row>
    <row r="345" spans="1:11" x14ac:dyDescent="0.25">
      <c r="A345" s="15" t="s">
        <v>4</v>
      </c>
      <c r="B345" s="17" t="s">
        <v>371</v>
      </c>
      <c r="C345" t="s">
        <v>380</v>
      </c>
      <c r="D345" t="s">
        <v>339</v>
      </c>
      <c r="E345" t="s">
        <v>373</v>
      </c>
      <c r="F345" s="18">
        <f>=(MIN(PARAM!$C$19,PARAM!$H$12-1500))*PARAM!$H$25-(0)*PARAM!$I$25</f>
        <v>25980.76211353316</v>
      </c>
      <c r="G345" s="18">
        <f>=(MIN(PARAM!$C$19,PARAM!$H$12-1500))*PARAM!$I$25+(0)*PARAM!$H$25</f>
        <v>14999.999999999998</v>
      </c>
      <c r="H345" s="18">
        <f>=PARAM!$H$19</f>
        <v>64020</v>
      </c>
      <c r="I345">
        <v>0</v>
      </c>
      <c r="J345">
        <v>0</v>
      </c>
      <c r="K345" s="18">
        <f>=PARAM!$C$25</f>
        <v>30</v>
      </c>
    </row>
    <row r="346" spans="1:11" x14ac:dyDescent="0.25">
      <c r="A346" s="15" t="s">
        <v>4</v>
      </c>
      <c r="B346" s="17" t="s">
        <v>371</v>
      </c>
      <c r="C346" t="s">
        <v>380</v>
      </c>
      <c r="D346" t="s">
        <v>344</v>
      </c>
      <c r="E346" t="s">
        <v>373</v>
      </c>
      <c r="F346" s="18">
        <f>=(MIN(PARAM!$C$19,PARAM!$H$12-1500))*PARAM!$H$25-(0)*PARAM!$I$25</f>
        <v>25980.76211353316</v>
      </c>
      <c r="G346" s="18">
        <f>=(MIN(PARAM!$C$19,PARAM!$H$12-1500))*PARAM!$I$25+(0)*PARAM!$H$25</f>
        <v>14999.999999999998</v>
      </c>
      <c r="H346" s="18">
        <f>=PARAM!$I$19</f>
        <v>28020</v>
      </c>
      <c r="I346">
        <v>0</v>
      </c>
      <c r="J346">
        <v>0</v>
      </c>
      <c r="K346" s="18">
        <f>=PARAM!$C$25</f>
        <v>30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