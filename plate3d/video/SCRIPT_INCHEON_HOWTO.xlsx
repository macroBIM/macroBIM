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대본" sheetId="2" state="visible" r:id="rId4"/>
    <sheet name="TTS 넘길 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<sst xmlns="http://schemas.openxmlformats.org/spreadsheetml/2006/main" count="312" uniqueCount="262">
  <si>
    <t xml:space="preserve">인천대교 강의편 — 내레이션 대본</t>
  </si>
  <si>
    <r>
      <rPr>
        <b val="true"/>
        <sz val="11"/>
        <rFont val="WenQuanYi Zen Hei"/>
        <family val="2"/>
      </rPr>
      <t xml:space="preserve">노란 칸만 채우시면 됩니다</t>
    </r>
    <r>
      <rPr>
        <b val="true"/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</si>
  <si>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말하기 속도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글자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</si>
  <si>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문장 사이 쉼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</si>
  <si>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절 사이 쉼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</si>
  <si>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위 세 칸은 아직 목소리가 없을 때 쓰는 추정값입니다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</si>
  <si>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녹음을 받으면 「대본」 탭의 노란 「실제초」 열에 붙여넣으세요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</si>
  <si>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예</t>
    </r>
    <r>
      <rPr>
        <sz val="11"/>
        <rFont val="Arial"/>
        <family val="0"/>
        <charset val="1"/>
      </rPr>
      <t xml:space="preserve">: 3.4  — </t>
    </r>
    <r>
      <rPr>
        <sz val="11"/>
        <rFont val="WenQuanYi Zen Hei"/>
        <family val="2"/>
      </rPr>
      <t xml:space="preserve">초 단위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소수 한 자리</t>
    </r>
  </si>
  <si>
    <r>
      <rPr>
        <sz val="11"/>
        <rFont val="WenQuanYi Zen Hei"/>
        <family val="2"/>
      </rPr>
      <t xml:space="preserve">한 줄이라도 채워지면 그 줄은 추정값 대신 실제값으로 계산됩니다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</si>
  <si>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시작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끝 시각은 그때마다 저절로 다시 계산됩니다</t>
    </r>
    <r>
      <rPr>
        <sz val="11"/>
        <rFont val="Arial"/>
        <family val="0"/>
        <charset val="1"/>
      </rPr>
      <t xml:space="preserve">.</t>
    </r>
  </si>
  <si>
    <t xml:space="preserve">번호</t>
  </si>
  <si>
    <t xml:space="preserve">절</t>
  </si>
  <si>
    <r>
      <rPr>
        <b val="true"/>
        <sz val="11"/>
        <color rgb="FFFFFFFF"/>
        <rFont val="WenQuanYi Zen Hei"/>
        <family val="2"/>
      </rPr>
      <t xml:space="preserve">한국어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읽는 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</si>
  <si>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English (</t>
    </r>
    <r>
      <rPr>
        <b val="true"/>
        <sz val="11"/>
        <color rgb="FFFFFFFF"/>
        <rFont val="WenQuanYi Zen Hei"/>
        <family val="2"/>
      </rPr>
      <t xml:space="preserve">자막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</si>
  <si>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화면</t>
  </si>
  <si>
    <t xml:space="preserve">글자수</t>
  </si>
  <si>
    <t xml:space="preserve">예상초</t>
  </si>
  <si>
    <t xml:space="preserve">실제초</t>
  </si>
  <si>
    <t xml:space="preserve">사용초</t>
  </si>
  <si>
    <t xml:space="preserve">시작</t>
  </si>
  <si>
    <t xml:space="preserve">끝</t>
  </si>
  <si>
    <t xml:space="preserve">n01</t>
  </si>
  <si>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인트로</t>
    </r>
  </si>
  <si>
    <r>
      <rPr>
        <sz val="10"/>
        <rFont val="WenQuanYi Zen Hei"/>
        <family val="2"/>
      </rPr>
      <t xml:space="preserve">인천대교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우리나라를 대표하는 다리죠</t>
    </r>
    <r>
      <rPr>
        <sz val="10"/>
        <rFont val="Arial"/>
        <family val="0"/>
        <charset val="1"/>
      </rPr>
      <t xml:space="preserve">.</t>
    </r>
  </si>
  <si>
    <t xml:space="preserve">The Incheon Bridge — Korea’s landmark crossing.</t>
  </si>
  <si>
    <r>
      <rPr>
        <sz val="10"/>
        <rFont val="WenQuanYi Zen Hei"/>
        <family val="2"/>
      </rPr>
      <t xml:space="preserve">완성된 다리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천천히 회전</t>
    </r>
  </si>
  <si>
    <t xml:space="preserve">n02</t>
  </si>
  <si>
    <r>
      <rPr>
        <sz val="10"/>
        <rFont val="WenQuanYi Zen Hei"/>
        <family val="2"/>
      </rPr>
      <t xml:space="preserve">이걸 엑셀로 만들 수 있습니다</t>
    </r>
    <r>
      <rPr>
        <sz val="10"/>
        <rFont val="Arial"/>
        <family val="0"/>
        <charset val="1"/>
      </rPr>
      <t xml:space="preserve">.</t>
    </r>
  </si>
  <si>
    <t xml:space="preserve">You can build it in Excel.</t>
  </si>
  <si>
    <t xml:space="preserve">컷 — 엑셀 시트</t>
  </si>
  <si>
    <t xml:space="preserve">n03</t>
  </si>
  <si>
    <r>
      <rPr>
        <sz val="10"/>
        <rFont val="WenQuanYi Zen Hei"/>
        <family val="2"/>
      </rPr>
      <t xml:space="preserve">플레이트쓰리디 하나면 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어렵지 않습니다</t>
    </r>
    <r>
      <rPr>
        <sz val="10"/>
        <rFont val="Arial"/>
        <family val="0"/>
        <charset val="1"/>
      </rPr>
      <t xml:space="preserve">.</t>
    </r>
  </si>
  <si>
    <t xml:space="preserve">All it takes is PLATE3D. It is not hard.</t>
  </si>
  <si>
    <t xml:space="preserve">앱 화면</t>
  </si>
  <si>
    <t xml:space="preserve">n04</t>
  </si>
  <si>
    <r>
      <rPr>
        <sz val="10"/>
        <rFont val="WenQuanYi Zen Hei"/>
        <family val="2"/>
      </rPr>
      <t xml:space="preserve">지금부터 같이 만들어 보겠습니다</t>
    </r>
    <r>
      <rPr>
        <sz val="10"/>
        <rFont val="Arial"/>
        <family val="0"/>
        <charset val="1"/>
      </rPr>
      <t xml:space="preserve">.</t>
    </r>
  </si>
  <si>
    <t xml:space="preserve">Let’s make it, step by step.</t>
  </si>
  <si>
    <t xml:space="preserve">빈 시트</t>
  </si>
  <si>
    <t xml:space="preserve">n05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</si>
  <si>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받기</t>
    </r>
  </si>
  <si>
    <r>
      <rPr>
        <sz val="10"/>
        <rFont val="WenQuanYi Zen Hei"/>
        <family val="2"/>
      </rPr>
      <t xml:space="preserve">먼저 </t>
    </r>
    <r>
      <rPr>
        <sz val="10"/>
        <rFont val="Arial"/>
        <family val="0"/>
        <charset val="1"/>
      </rPr>
      <t xml:space="preserve">macroBIM </t>
    </r>
    <r>
      <rPr>
        <sz val="10"/>
        <rFont val="WenQuanYi Zen Hei"/>
        <family val="2"/>
      </rPr>
      <t xml:space="preserve">사이트로 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설치할 건 없습니다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브라우저에서 바로 돌아갑니다</t>
    </r>
    <r>
      <rPr>
        <sz val="10"/>
        <rFont val="Arial"/>
        <family val="0"/>
        <charset val="1"/>
      </rPr>
      <t xml:space="preserve">.</t>
    </r>
  </si>
  <si>
    <t xml:space="preserve">Start at macroBIM. Nothing to install — it runs in the browser.</t>
  </si>
  <si>
    <r>
      <rPr>
        <sz val="10"/>
        <rFont val="WenQuanYi Zen Hei"/>
        <family val="2"/>
      </rPr>
      <t xml:space="preserve">사이트 → </t>
    </r>
    <r>
      <rPr>
        <sz val="10"/>
        <rFont val="Arial"/>
        <family val="0"/>
        <charset val="1"/>
      </rPr>
      <t xml:space="preserve">PLATE3D</t>
    </r>
  </si>
  <si>
    <t xml:space="preserve">n06</t>
  </si>
  <si>
    <r>
      <rPr>
        <sz val="10"/>
        <rFont val="WenQuanYi Zen Hei"/>
        <family val="2"/>
      </rPr>
      <t xml:space="preserve">왼쪽 메뉴에서 </t>
    </r>
    <r>
      <rPr>
        <sz val="10"/>
        <rFont val="Arial"/>
        <family val="0"/>
        <charset val="1"/>
      </rPr>
      <t xml:space="preserve">PLATE3D, </t>
    </r>
    <r>
      <rPr>
        <sz val="10"/>
        <rFont val="WenQuanYi Zen Hei"/>
        <family val="2"/>
      </rPr>
      <t xml:space="preserve">오른쪽 위 </t>
    </r>
    <r>
      <rPr>
        <sz val="10"/>
        <rFont val="Arial"/>
        <family val="0"/>
        <charset val="1"/>
      </rPr>
      <t xml:space="preserve">Example </t>
    </r>
    <r>
      <rPr>
        <sz val="10"/>
        <rFont val="WenQuanYi Zen Hei"/>
        <family val="2"/>
      </rPr>
      <t xml:space="preserve">을 누릅니다</t>
    </r>
    <r>
      <rPr>
        <sz val="10"/>
        <rFont val="Arial"/>
        <family val="0"/>
        <charset val="1"/>
      </rPr>
      <t xml:space="preserve">.</t>
    </r>
  </si>
  <si>
    <t xml:space="preserve">PLATE3D on the left, then Example, top right.</t>
  </si>
  <si>
    <r>
      <rPr>
        <sz val="10"/>
        <rFont val="WenQuanYi Zen Hei"/>
        <family val="2"/>
      </rPr>
      <t xml:space="preserve">메뉴 → </t>
    </r>
    <r>
      <rPr>
        <sz val="10"/>
        <rFont val="Arial"/>
        <family val="0"/>
        <charset val="1"/>
      </rPr>
      <t xml:space="preserve">Example </t>
    </r>
    <r>
      <rPr>
        <sz val="10"/>
        <rFont val="WenQuanYi Zen Hei"/>
        <family val="2"/>
      </rPr>
      <t xml:space="preserve">창</t>
    </r>
  </si>
  <si>
    <t xml:space="preserve">n07</t>
  </si>
  <si>
    <r>
      <rPr>
        <sz val="10"/>
        <rFont val="WenQuanYi Zen Hei"/>
        <family val="2"/>
      </rPr>
      <t xml:space="preserve">맨 위 </t>
    </r>
    <r>
      <rPr>
        <sz val="10"/>
        <rFont val="Arial"/>
        <family val="0"/>
        <charset val="1"/>
      </rPr>
      <t xml:space="preserve">Template </t>
    </r>
    <r>
      <rPr>
        <sz val="10"/>
        <rFont val="WenQuanYi Zen Hei"/>
        <family val="2"/>
      </rPr>
      <t xml:space="preserve">을 받으세요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모든 키워드가 주석으로 들어 있는 빈 시트입니다</t>
    </r>
    <r>
      <rPr>
        <sz val="10"/>
        <rFont val="Arial"/>
        <family val="0"/>
        <charset val="1"/>
      </rPr>
      <t xml:space="preserve">.</t>
    </r>
  </si>
  <si>
    <t xml:space="preserve">Take the Template at the top — a blank sheet with every keyword in it, commented out.</t>
  </si>
  <si>
    <r>
      <rPr>
        <sz val="10"/>
        <rFont val="Arial"/>
        <family val="0"/>
        <charset val="1"/>
      </rPr>
      <t xml:space="preserve">Template </t>
    </r>
    <r>
      <rPr>
        <sz val="10"/>
        <rFont val="WenQuanYi Zen Hei"/>
        <family val="2"/>
      </rPr>
      <t xml:space="preserve">행 → </t>
    </r>
    <r>
      <rPr>
        <sz val="10"/>
        <rFont val="Arial"/>
        <family val="0"/>
        <charset val="1"/>
      </rPr>
      <t xml:space="preserve">DOWNLOAD → SAVED</t>
    </r>
  </si>
  <si>
    <t xml:space="preserve">n08</t>
  </si>
  <si>
    <r>
      <rPr>
        <sz val="10"/>
        <rFont val="WenQuanYi Zen Hei"/>
        <family val="2"/>
      </rPr>
      <t xml:space="preserve">이 파일은 아무것도 만들지 않습니다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그게 이 파일의 쓸모입니다</t>
    </r>
    <r>
      <rPr>
        <sz val="10"/>
        <rFont val="Arial"/>
        <family val="0"/>
        <charset val="1"/>
      </rPr>
      <t xml:space="preserve">.</t>
    </r>
  </si>
  <si>
    <t xml:space="preserve">It builds nothing. That is what it is for.</t>
  </si>
  <si>
    <t xml:space="preserve">엑셀에서 열린 템플릿</t>
  </si>
  <si>
    <t xml:space="preserve">n09</t>
  </si>
  <si>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계획</t>
    </r>
  </si>
  <si>
    <r>
      <rPr>
        <sz val="10"/>
        <rFont val="WenQuanYi Zen Hei"/>
        <family val="2"/>
      </rPr>
      <t xml:space="preserve">치기 전에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 도구가 뭘 할 줄 아는지부터 봅니다</t>
    </r>
    <r>
      <rPr>
        <sz val="10"/>
        <rFont val="Arial"/>
        <family val="0"/>
        <charset val="1"/>
      </rPr>
      <t xml:space="preserve">.</t>
    </r>
  </si>
  <si>
    <t xml:space="preserve">Before typing, look at what the tool can do.</t>
  </si>
  <si>
    <t xml:space="preserve">템플릿 헤더들이 차례로</t>
  </si>
  <si>
    <t xml:space="preserve">n10</t>
  </si>
  <si>
    <r>
      <rPr>
        <sz val="10"/>
        <rFont val="WenQuanYi Zen Hei"/>
        <family val="2"/>
      </rPr>
      <t xml:space="preserve">단면은 타이핑으로 만듭니다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카탈로그가 없습니다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치수를 직접 적습니다</t>
    </r>
    <r>
      <rPr>
        <sz val="10"/>
        <rFont val="Arial"/>
        <family val="0"/>
        <charset val="1"/>
      </rPr>
      <t xml:space="preserve">.</t>
    </r>
  </si>
  <si>
    <t xml:space="preserve">Sections are typed. There is no catalogue — you write the dimensions.</t>
  </si>
  <si>
    <r>
      <rPr>
        <sz val="10"/>
        <rFont val="Arial"/>
        <family val="0"/>
        <charset val="1"/>
      </rPr>
      <t xml:space="preserve"># SECT </t>
    </r>
    <r>
      <rPr>
        <sz val="10"/>
        <rFont val="WenQuanYi Zen Hei"/>
        <family val="2"/>
      </rPr>
      <t xml:space="preserve">헤더</t>
    </r>
  </si>
  <si>
    <t xml:space="preserve">n11</t>
  </si>
  <si>
    <r>
      <rPr>
        <sz val="10"/>
        <rFont val="WenQuanYi Zen Hei"/>
        <family val="2"/>
      </rPr>
      <t xml:space="preserve">굵기가 변하는 부재도 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단면 둘을 부르면 그 사이를 세워 줍니다</t>
    </r>
    <r>
      <rPr>
        <sz val="10"/>
        <rFont val="Arial"/>
        <family val="0"/>
        <charset val="1"/>
      </rPr>
      <t xml:space="preserve">.</t>
    </r>
  </si>
  <si>
    <t xml:space="preserve">A member can change section: name two, and it flows between them.</t>
  </si>
  <si>
    <r>
      <rPr>
        <sz val="10"/>
        <rFont val="Arial"/>
        <family val="0"/>
        <charset val="1"/>
      </rPr>
      <t xml:space="preserve"># TAPER </t>
    </r>
    <r>
      <rPr>
        <sz val="10"/>
        <rFont val="WenQuanYi Zen Hei"/>
        <family val="2"/>
      </rPr>
      <t xml:space="preserve">헤더</t>
    </r>
  </si>
  <si>
    <t xml:space="preserve">n12</t>
  </si>
  <si>
    <r>
      <rPr>
        <sz val="10"/>
        <rFont val="WenQuanYi Zen Hei"/>
        <family val="2"/>
      </rPr>
      <t xml:space="preserve">부재는 두 점 사이에 세웁니다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시작점과 끝점만 있으면 됩니다</t>
    </r>
    <r>
      <rPr>
        <sz val="10"/>
        <rFont val="Arial"/>
        <family val="0"/>
        <charset val="1"/>
      </rPr>
      <t xml:space="preserve">.</t>
    </r>
  </si>
  <si>
    <t xml:space="preserve">A member goes between two points. Start and end, that is all.</t>
  </si>
  <si>
    <r>
      <rPr>
        <sz val="10"/>
        <rFont val="Arial"/>
        <family val="0"/>
        <charset val="1"/>
      </rPr>
      <t xml:space="preserve"># MODULE </t>
    </r>
    <r>
      <rPr>
        <sz val="10"/>
        <rFont val="WenQuanYi Zen Hei"/>
        <family val="2"/>
      </rPr>
      <t xml:space="preserve">헤더</t>
    </r>
  </si>
  <si>
    <t xml:space="preserve">n13</t>
  </si>
  <si>
    <r>
      <rPr>
        <sz val="10"/>
        <rFont val="WenQuanYi Zen Hei"/>
        <family val="2"/>
      </rPr>
      <t xml:space="preserve">그리고 대칭으로 뒤집을 수 있습니다</t>
    </r>
    <r>
      <rPr>
        <sz val="10"/>
        <rFont val="Arial"/>
        <family val="0"/>
        <charset val="1"/>
      </rPr>
      <t xml:space="preserve">.</t>
    </r>
  </si>
  <si>
    <t xml:space="preserve">And it can be mirrored.</t>
  </si>
  <si>
    <r>
      <rPr>
        <sz val="10"/>
        <rFont val="Arial"/>
        <family val="0"/>
        <charset val="1"/>
      </rPr>
      <t xml:space="preserve"># ASSY </t>
    </r>
    <r>
      <rPr>
        <sz val="10"/>
        <rFont val="WenQuanYi Zen Hei"/>
        <family val="2"/>
      </rPr>
      <t xml:space="preserve">헤더</t>
    </r>
  </si>
  <si>
    <t xml:space="preserve">n14</t>
  </si>
  <si>
    <r>
      <rPr>
        <sz val="10"/>
        <rFont val="WenQuanYi Zen Hei"/>
        <family val="2"/>
      </rPr>
      <t xml:space="preserve">그러면 인천대교는 이렇게 나누면 되겠습니다</t>
    </r>
    <r>
      <rPr>
        <sz val="10"/>
        <rFont val="Arial"/>
        <family val="0"/>
        <charset val="1"/>
      </rPr>
      <t xml:space="preserve">.</t>
    </r>
  </si>
  <si>
    <t xml:space="preserve">So the bridge splits like this.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</si>
  <si>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분할 다이어그램</t>
    </r>
  </si>
  <si>
    <t xml:space="preserve">n15</t>
  </si>
  <si>
    <r>
      <rPr>
        <sz val="10"/>
        <rFont val="WenQuanYi Zen Hei"/>
        <family val="2"/>
      </rPr>
      <t xml:space="preserve">상판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케이블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넷입니다</t>
    </r>
    <r>
      <rPr>
        <sz val="10"/>
        <rFont val="Arial"/>
        <family val="0"/>
        <charset val="1"/>
      </rPr>
      <t xml:space="preserve">.</t>
    </r>
  </si>
  <si>
    <t xml:space="preserve">Deck, pylon, cables, piers. Four.</t>
  </si>
  <si>
    <t xml:space="preserve">각각 색으로</t>
  </si>
  <si>
    <t xml:space="preserve">n16</t>
  </si>
  <si>
    <r>
      <rPr>
        <sz val="10"/>
        <rFont val="WenQuanYi Zen Hei"/>
        <family val="2"/>
      </rPr>
      <t xml:space="preserve">주탑 다리는 올라가면서 가늘어집니다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변단면으로 만들면 되겠네요</t>
    </r>
    <r>
      <rPr>
        <sz val="10"/>
        <rFont val="Arial"/>
        <family val="0"/>
        <charset val="1"/>
      </rPr>
      <t xml:space="preserve">.</t>
    </r>
  </si>
  <si>
    <t xml:space="preserve">The pylon legs taper as they rise — so, a tapered member.</t>
  </si>
  <si>
    <t xml:space="preserve">주탑 확대</t>
  </si>
  <si>
    <t xml:space="preserve">n17</t>
  </si>
  <si>
    <r>
      <rPr>
        <sz val="10"/>
        <rFont val="WenQuanYi Zen Hei"/>
        <family val="2"/>
      </rPr>
      <t xml:space="preserve">케이블은 직선입니다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시작점과 끝점만 있으면 한 줄이면 됩니다</t>
    </r>
    <r>
      <rPr>
        <sz val="10"/>
        <rFont val="Arial"/>
        <family val="0"/>
        <charset val="1"/>
      </rPr>
      <t xml:space="preserve">.</t>
    </r>
  </si>
  <si>
    <t xml:space="preserve">A cable is a straight line. Two points, one row.</t>
  </si>
  <si>
    <t xml:space="preserve">케이블 한 가닥</t>
  </si>
  <si>
    <t xml:space="preserve">n18</t>
  </si>
  <si>
    <r>
      <rPr>
        <sz val="10"/>
        <rFont val="WenQuanYi Zen Hei"/>
        <family val="2"/>
      </rPr>
      <t xml:space="preserve">그리고 다리는 좌우가 똑같습니다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반쪽만 쓰고 뒤집으면 됩니다</t>
    </r>
    <r>
      <rPr>
        <sz val="10"/>
        <rFont val="Arial"/>
        <family val="0"/>
        <charset val="1"/>
      </rPr>
      <t xml:space="preserve">.</t>
    </r>
  </si>
  <si>
    <t xml:space="preserve">And the bridge is symmetric — write half, mirror it.</t>
  </si>
  <si>
    <t xml:space="preserve">반쪽 → 전체</t>
  </si>
  <si>
    <t xml:space="preserve">n19</t>
  </si>
  <si>
    <r>
      <rPr>
        <sz val="10"/>
        <rFont val="WenQuanYi Zen Hei"/>
        <family val="2"/>
      </rPr>
      <t xml:space="preserve">하나만 더 정하고 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만들 것도 정해야 합니다</t>
    </r>
    <r>
      <rPr>
        <sz val="10"/>
        <rFont val="Arial"/>
        <family val="0"/>
        <charset val="1"/>
      </rPr>
      <t xml:space="preserve">.</t>
    </r>
  </si>
  <si>
    <t xml:space="preserve">One more decision: what NOT to model.</t>
  </si>
  <si>
    <t xml:space="preserve">상판 단면</t>
  </si>
  <si>
    <t xml:space="preserve">n20</t>
  </si>
  <si>
    <r>
      <rPr>
        <sz val="10"/>
        <rFont val="WenQuanYi Zen Hei"/>
        <family val="2"/>
      </rPr>
      <t xml:space="preserve">이 모델은 겉면만 만듭니다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안쪽 보강재는 넣지 않습니다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그래서 앱이 보여주는 무게는 참고만 하세요</t>
    </r>
    <r>
      <rPr>
        <sz val="10"/>
        <rFont val="Arial"/>
        <family val="0"/>
        <charset val="1"/>
      </rPr>
      <t xml:space="preserve">.</t>
    </r>
  </si>
  <si>
    <t xml:space="preserve">This model is the outer surface only — no internal stiffeners. So take the weight it reports as a guide, not a quantity.</t>
  </si>
  <si>
    <t xml:space="preserve">결과 패널의 무게</t>
  </si>
  <si>
    <t xml:space="preserve">n21</t>
  </si>
  <si>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상판</t>
    </r>
  </si>
  <si>
    <r>
      <rPr>
        <sz val="10"/>
        <rFont val="WenQuanYi Zen Hei"/>
        <family val="2"/>
      </rPr>
      <t xml:space="preserve">상판부터 하겠습니다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인천대교 상판은 속이 빈 박스입니다</t>
    </r>
    <r>
      <rPr>
        <sz val="10"/>
        <rFont val="Arial"/>
        <family val="0"/>
        <charset val="1"/>
      </rPr>
      <t xml:space="preserve">.</t>
    </r>
  </si>
  <si>
    <t xml:space="preserve">The deck first. It is a hollow box.</t>
  </si>
  <si>
    <t xml:space="preserve">상판 단면 도면</t>
  </si>
  <si>
    <t xml:space="preserve">n22</t>
  </si>
  <si>
    <r>
      <rPr>
        <sz val="10"/>
        <rFont val="WenQuanYi Zen Hei"/>
        <family val="2"/>
      </rPr>
      <t xml:space="preserve">단면 한 줄을 씁니다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타입은 </t>
    </r>
    <r>
      <rPr>
        <sz val="10"/>
        <rFont val="Arial"/>
        <family val="0"/>
        <charset val="1"/>
      </rPr>
      <t xml:space="preserve">R, </t>
    </r>
    <r>
      <rPr>
        <sz val="10"/>
        <rFont val="WenQuanYi Zen Hei"/>
        <family val="2"/>
      </rPr>
      <t xml:space="preserve">사각 강관입니다</t>
    </r>
    <r>
      <rPr>
        <sz val="10"/>
        <rFont val="Arial"/>
        <family val="0"/>
        <charset val="1"/>
      </rPr>
      <t xml:space="preserve">.</t>
    </r>
  </si>
  <si>
    <t xml:space="preserve">One section row. Type R — a rectangular tube.</t>
  </si>
  <si>
    <t xml:space="preserve">SECT sc.gb SM490 15000 R mc 1371 17600 30 0</t>
  </si>
  <si>
    <t xml:space="preserve">n23</t>
  </si>
  <si>
    <r>
      <rPr>
        <sz val="10"/>
        <rFont val="WenQuanYi Zen Hei"/>
        <family val="2"/>
      </rPr>
      <t xml:space="preserve">높이 천삼백칠십일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폭 만칠천육백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두께 삼십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그게 전부입니다</t>
    </r>
    <r>
      <rPr>
        <sz val="10"/>
        <rFont val="Arial"/>
        <family val="0"/>
        <charset val="1"/>
      </rPr>
      <t xml:space="preserve">.</t>
    </r>
  </si>
  <si>
    <t xml:space="preserve">1,371 deep, 17,600 wide, 30 thick. That is the whole section.</t>
  </si>
  <si>
    <t xml:space="preserve">셀 하나씩 강조</t>
  </si>
  <si>
    <t xml:space="preserve">n24</t>
  </si>
  <si>
    <r>
      <rPr>
        <sz val="10"/>
        <rFont val="WenQuanYi Zen Hei"/>
        <family val="2"/>
      </rPr>
      <t xml:space="preserve">이제 어디에 놓을지 한 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시작점과 끝점입니다</t>
    </r>
    <r>
      <rPr>
        <sz val="10"/>
        <rFont val="Arial"/>
        <family val="0"/>
        <charset val="1"/>
      </rPr>
      <t xml:space="preserve">.</t>
    </r>
  </si>
  <si>
    <t xml:space="preserve">Now where it goes — one row, start point and end point.</t>
  </si>
  <si>
    <r>
      <rPr>
        <sz val="10"/>
        <rFont val="Arial"/>
        <family val="0"/>
        <charset val="1"/>
      </rPr>
      <t xml:space="preserve">MODULE md.dck sc.gb … </t>
    </r>
    <r>
      <rPr>
        <sz val="10"/>
        <rFont val="WenQuanYi Zen Hei"/>
        <family val="2"/>
      </rPr>
      <t xml:space="preserve">두 점</t>
    </r>
  </si>
  <si>
    <t xml:space="preserve">n25</t>
  </si>
  <si>
    <r>
      <rPr>
        <sz val="10"/>
        <rFont val="WenQuanYi Zen Hei"/>
        <family val="2"/>
      </rPr>
      <t xml:space="preserve">그리고 세상에 올리는 한 줄</t>
    </r>
    <r>
      <rPr>
        <sz val="10"/>
        <rFont val="Arial"/>
        <family val="0"/>
        <charset val="1"/>
      </rPr>
      <t xml:space="preserve">.</t>
    </r>
  </si>
  <si>
    <t xml:space="preserve">And one row to put it in the world.</t>
  </si>
  <si>
    <t xml:space="preserve">ASSY as.dck md.dck ADD …</t>
  </si>
  <si>
    <t xml:space="preserve">n26</t>
  </si>
  <si>
    <r>
      <rPr>
        <sz val="10"/>
        <rFont val="Arial"/>
        <family val="0"/>
        <charset val="1"/>
      </rPr>
      <t xml:space="preserve">Load Excel </t>
    </r>
    <r>
      <rPr>
        <sz val="10"/>
        <rFont val="WenQuanYi Zen Hei"/>
        <family val="2"/>
      </rPr>
      <t xml:space="preserve">을 누릅니다</t>
    </r>
    <r>
      <rPr>
        <sz val="10"/>
        <rFont val="Arial"/>
        <family val="0"/>
        <charset val="1"/>
      </rPr>
      <t xml:space="preserve">.</t>
    </r>
  </si>
  <si>
    <t xml:space="preserve">Press Load Excel.</t>
  </si>
  <si>
    <r>
      <rPr>
        <sz val="10"/>
        <rFont val="WenQuanYi Zen Hei"/>
        <family val="2"/>
      </rPr>
      <t xml:space="preserve">버튼 → </t>
    </r>
    <r>
      <rPr>
        <sz val="10"/>
        <rFont val="Arial"/>
        <family val="0"/>
        <charset val="1"/>
      </rPr>
      <t xml:space="preserve">3D</t>
    </r>
  </si>
  <si>
    <t xml:space="preserve">n27</t>
  </si>
  <si>
    <r>
      <rPr>
        <sz val="10"/>
        <rFont val="WenQuanYi Zen Hei"/>
        <family val="2"/>
      </rPr>
      <t xml:space="preserve">세 줄로 부재 하나가 섰습니다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전부 이걸 반복하는 겁니다</t>
    </r>
    <r>
      <rPr>
        <sz val="10"/>
        <rFont val="Arial"/>
        <family val="0"/>
        <charset val="1"/>
      </rPr>
      <t xml:space="preserve">.</t>
    </r>
  </si>
  <si>
    <t xml:space="preserve">Three rows, one member. Everything else is this, repeated.</t>
  </si>
  <si>
    <t xml:space="preserve">상판 한 마디가 화면에</t>
  </si>
  <si>
    <t xml:space="preserve">n28</t>
  </si>
  <si>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주탑</t>
    </r>
  </si>
  <si>
    <r>
      <rPr>
        <sz val="10"/>
        <rFont val="WenQuanYi Zen Hei"/>
        <family val="2"/>
      </rPr>
      <t xml:space="preserve">주탑입니다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해수면에서 이백삼십팔 미터</t>
    </r>
    <r>
      <rPr>
        <sz val="10"/>
        <rFont val="Arial"/>
        <family val="0"/>
        <charset val="1"/>
      </rPr>
      <t xml:space="preserve">.</t>
    </r>
  </si>
  <si>
    <t xml:space="preserve">The pylon — 238 metres above the sea.</t>
  </si>
  <si>
    <t xml:space="preserve">주탑 전체</t>
  </si>
  <si>
    <t xml:space="preserve">n29</t>
  </si>
  <si>
    <r>
      <rPr>
        <sz val="10"/>
        <rFont val="WenQuanYi Zen Hei"/>
        <family val="2"/>
      </rPr>
      <t xml:space="preserve">그런데 다리가 올라가면서 가늘어집니다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아래는 굵고 위는 얇습니다</t>
    </r>
    <r>
      <rPr>
        <sz val="10"/>
        <rFont val="Arial"/>
        <family val="0"/>
        <charset val="1"/>
      </rPr>
      <t xml:space="preserve">.</t>
    </r>
  </si>
  <si>
    <t xml:space="preserve">But the legs taper as they rise: thick at the bottom, thin at the top.</t>
  </si>
  <si>
    <r>
      <rPr>
        <sz val="10"/>
        <rFont val="WenQuanYi Zen Hei"/>
        <family val="2"/>
      </rPr>
      <t xml:space="preserve">아래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 단면 비교</t>
    </r>
  </si>
  <si>
    <t xml:space="preserve">n30</t>
  </si>
  <si>
    <r>
      <rPr>
        <sz val="10"/>
        <rFont val="WenQuanYi Zen Hei"/>
        <family val="2"/>
      </rPr>
      <t xml:space="preserve">이럴 때 단면 둘을 씁니다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시작 단면 하나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끝 단면 하나</t>
    </r>
    <r>
      <rPr>
        <sz val="10"/>
        <rFont val="Arial"/>
        <family val="0"/>
        <charset val="1"/>
      </rPr>
      <t xml:space="preserve">.</t>
    </r>
  </si>
  <si>
    <t xml:space="preserve">So write two sections — one for each end.</t>
  </si>
  <si>
    <t xml:space="preserve">sc.la 10000 / sc.lb 8000</t>
  </si>
  <si>
    <t xml:space="preserve">n31</t>
  </si>
  <si>
    <r>
      <rPr>
        <sz val="10"/>
        <rFont val="WenQuanYi Zen Hei"/>
        <family val="2"/>
      </rPr>
      <t xml:space="preserve">그리고 그 둘을 이어 주는 한 줄</t>
    </r>
    <r>
      <rPr>
        <sz val="10"/>
        <rFont val="Arial"/>
        <family val="0"/>
        <charset val="1"/>
      </rPr>
      <t xml:space="preserve">.</t>
    </r>
  </si>
  <si>
    <t xml:space="preserve">And one row to flow between them.</t>
  </si>
  <si>
    <t xml:space="preserve">TAPER tp.lg1 sc.la sc.lb mc mc mc 55382.8</t>
  </si>
  <si>
    <t xml:space="preserve">n32</t>
  </si>
  <si>
    <r>
      <rPr>
        <sz val="10"/>
        <rFont val="WenQuanYi Zen Hei"/>
        <family val="2"/>
      </rPr>
      <t xml:space="preserve">이제 이건 새 부재입니다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다른 부재처럼 이름으로 부르면 됩니다</t>
    </r>
    <r>
      <rPr>
        <sz val="10"/>
        <rFont val="Arial"/>
        <family val="0"/>
        <charset val="1"/>
      </rPr>
      <t xml:space="preserve">.</t>
    </r>
  </si>
  <si>
    <t xml:space="preserve">That is a new member now, called by name like any other.</t>
  </si>
  <si>
    <r>
      <rPr>
        <sz val="10"/>
        <rFont val="Arial"/>
        <family val="0"/>
        <charset val="1"/>
      </rPr>
      <t xml:space="preserve">MODULE 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tp.lg1</t>
    </r>
  </si>
  <si>
    <t xml:space="preserve">n33</t>
  </si>
  <si>
    <r>
      <rPr>
        <sz val="10"/>
        <rFont val="WenQuanYi Zen Hei"/>
        <family val="2"/>
      </rPr>
      <t xml:space="preserve">계단처럼 끊기지 않고 흐릅니다</t>
    </r>
    <r>
      <rPr>
        <sz val="10"/>
        <rFont val="Arial"/>
        <family val="0"/>
        <charset val="1"/>
      </rPr>
      <t xml:space="preserve">.</t>
    </r>
  </si>
  <si>
    <t xml:space="preserve">It flows instead of stepping.</t>
  </si>
  <si>
    <r>
      <rPr>
        <sz val="10"/>
        <rFont val="WenQuanYi Zen Hei"/>
        <family val="2"/>
      </rPr>
      <t xml:space="preserve">주탑 다리 확대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회전</t>
    </r>
  </si>
  <si>
    <t xml:space="preserve">n34</t>
  </si>
  <si>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케이블</t>
    </r>
  </si>
  <si>
    <r>
      <rPr>
        <sz val="10"/>
        <rFont val="WenQuanYi Zen Hei"/>
        <family val="2"/>
      </rPr>
      <t xml:space="preserve">이제 케이블입니다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다리의 주인공이죠</t>
    </r>
    <r>
      <rPr>
        <sz val="10"/>
        <rFont val="Arial"/>
        <family val="0"/>
        <charset val="1"/>
      </rPr>
      <t xml:space="preserve">.</t>
    </r>
  </si>
  <si>
    <t xml:space="preserve">Now the cables — the thing that makes this bridge.</t>
  </si>
  <si>
    <t xml:space="preserve">부채 전체</t>
  </si>
  <si>
    <t xml:space="preserve">n35</t>
  </si>
  <si>
    <r>
      <rPr>
        <sz val="10"/>
        <rFont val="WenQuanYi Zen Hei"/>
        <family val="2"/>
      </rPr>
      <t xml:space="preserve">케이블은 강선을 묶어 관에 넣은 겁니다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그러니 단면은 파이프입니다</t>
    </r>
    <r>
      <rPr>
        <sz val="10"/>
        <rFont val="Arial"/>
        <family val="0"/>
        <charset val="1"/>
      </rPr>
      <t xml:space="preserve">.</t>
    </r>
  </si>
  <si>
    <t xml:space="preserve">A stay is strand inside a sheath, so the section is a pipe.</t>
  </si>
  <si>
    <t xml:space="preserve">SECT sc.ca SM570 250000 P mc 200 14</t>
  </si>
  <si>
    <t xml:space="preserve">n36</t>
  </si>
  <si>
    <r>
      <rPr>
        <sz val="10"/>
        <rFont val="WenQuanYi Zen Hei"/>
        <family val="2"/>
      </rPr>
      <t xml:space="preserve">그리고 케이블은 직선입니다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휘지 않습니다</t>
    </r>
    <r>
      <rPr>
        <sz val="10"/>
        <rFont val="Arial"/>
        <family val="0"/>
        <charset val="1"/>
      </rPr>
      <t xml:space="preserve">.</t>
    </r>
  </si>
  <si>
    <t xml:space="preserve">And a stay is straight. It does not sag.</t>
  </si>
  <si>
    <t xml:space="preserve">n37</t>
  </si>
  <si>
    <r>
      <rPr>
        <sz val="10"/>
        <rFont val="WenQuanYi Zen Hei"/>
        <family val="2"/>
      </rPr>
      <t xml:space="preserve">그래서 한 줄이면 한 가닥입니다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주탑의 정착점에서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상판의 정착점까지</t>
    </r>
    <r>
      <rPr>
        <sz val="10"/>
        <rFont val="Arial"/>
        <family val="0"/>
        <charset val="1"/>
      </rPr>
      <t xml:space="preserve">.</t>
    </r>
  </si>
  <si>
    <t xml:space="preserve">So one row is one cable — from the pylon anchorage to the deck anchorage.</t>
  </si>
  <si>
    <r>
      <rPr>
        <sz val="10"/>
        <rFont val="Arial"/>
        <family val="0"/>
        <charset val="1"/>
      </rPr>
      <t xml:space="preserve">MODULE md.stay sc.cb … </t>
    </r>
    <r>
      <rPr>
        <sz val="10"/>
        <rFont val="WenQuanYi Zen Hei"/>
        <family val="2"/>
      </rPr>
      <t xml:space="preserve">두 점</t>
    </r>
  </si>
  <si>
    <t xml:space="preserve">n38</t>
  </si>
  <si>
    <r>
      <rPr>
        <sz val="10"/>
        <rFont val="WenQuanYi Zen Hei"/>
        <family val="2"/>
      </rPr>
      <t xml:space="preserve">한 줄 쓰고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끌어서 복사하면 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엑셀이니까요</t>
    </r>
    <r>
      <rPr>
        <sz val="10"/>
        <rFont val="Arial"/>
        <family val="0"/>
        <charset val="1"/>
      </rPr>
      <t xml:space="preserve">.</t>
    </r>
  </si>
  <si>
    <t xml:space="preserve">Write one, then drag to copy. It is a spreadsheet.</t>
  </si>
  <si>
    <r>
      <rPr>
        <sz val="10"/>
        <rFont val="WenQuanYi Zen Hei"/>
        <family val="2"/>
      </rPr>
      <t xml:space="preserve">셀 드래그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행이 늘어남</t>
    </r>
  </si>
  <si>
    <t xml:space="preserve">n39</t>
  </si>
  <si>
    <r>
      <rPr>
        <sz val="10"/>
        <rFont val="WenQuanYi Zen Hei"/>
        <family val="2"/>
      </rPr>
      <t xml:space="preserve">그렇게 부채 하나가 만들어집니다</t>
    </r>
    <r>
      <rPr>
        <sz val="10"/>
        <rFont val="Arial"/>
        <family val="0"/>
        <charset val="1"/>
      </rPr>
      <t xml:space="preserve">.</t>
    </r>
  </si>
  <si>
    <t xml:space="preserve">And a fan comes out.</t>
  </si>
  <si>
    <t xml:space="preserve">부채가 채워짐</t>
  </si>
  <si>
    <t xml:space="preserve">n40</t>
  </si>
  <si>
    <r>
      <rPr>
        <sz val="10"/>
        <rFont val="WenQuanYi Zen Hei"/>
        <family val="2"/>
      </rPr>
      <t xml:space="preserve">인천대교는 케이블이 이백여덟 가닥입니다</t>
    </r>
    <r>
      <rPr>
        <sz val="10"/>
        <rFont val="Arial"/>
        <family val="0"/>
        <charset val="1"/>
      </rPr>
      <t xml:space="preserve">.</t>
    </r>
  </si>
  <si>
    <t xml:space="preserve">The Incheon Bridge has 208 of them.</t>
  </si>
  <si>
    <r>
      <rPr>
        <sz val="10"/>
        <rFont val="WenQuanYi Zen Hei"/>
        <family val="2"/>
      </rPr>
      <t xml:space="preserve">부채 전체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회전</t>
    </r>
  </si>
  <si>
    <t xml:space="preserve">n41</t>
  </si>
  <si>
    <r>
      <rPr>
        <sz val="10"/>
        <rFont val="WenQuanYi Zen Hei"/>
        <family val="2"/>
      </rPr>
      <t xml:space="preserve">그리고 이 파일은 이미 예제에 들어 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직접 다 치실 필요 없습니다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받아서 열어 보세요</t>
    </r>
    <r>
      <rPr>
        <sz val="10"/>
        <rFont val="Arial"/>
        <family val="0"/>
        <charset val="1"/>
      </rPr>
      <t xml:space="preserve">.</t>
    </r>
  </si>
  <si>
    <t xml:space="preserve">And this file is already in the Example list. You do not have to type it — just take it.</t>
  </si>
  <si>
    <r>
      <rPr>
        <sz val="10"/>
        <rFont val="Arial"/>
        <family val="0"/>
        <charset val="1"/>
      </rPr>
      <t xml:space="preserve">Example </t>
    </r>
    <r>
      <rPr>
        <sz val="10"/>
        <rFont val="WenQuanYi Zen Hei"/>
        <family val="2"/>
      </rPr>
      <t xml:space="preserve">창의 </t>
    </r>
    <r>
      <rPr>
        <sz val="10"/>
        <rFont val="Arial"/>
        <family val="0"/>
        <charset val="1"/>
      </rPr>
      <t xml:space="preserve">Incheon Bridge </t>
    </r>
    <r>
      <rPr>
        <sz val="10"/>
        <rFont val="WenQuanYi Zen Hei"/>
        <family val="2"/>
      </rPr>
      <t xml:space="preserve">행</t>
    </r>
  </si>
  <si>
    <t xml:space="preserve">n42</t>
  </si>
  <si>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대칭</t>
    </r>
  </si>
  <si>
    <r>
      <rPr>
        <sz val="10"/>
        <rFont val="WenQuanYi Zen Hei"/>
        <family val="2"/>
      </rPr>
      <t xml:space="preserve">지금까지 만든 건 다리의 왼쪽 반입니다</t>
    </r>
    <r>
      <rPr>
        <sz val="10"/>
        <rFont val="Arial"/>
        <family val="0"/>
        <charset val="1"/>
      </rPr>
      <t xml:space="preserve">.</t>
    </r>
  </si>
  <si>
    <t xml:space="preserve">What we have is the left half.</t>
  </si>
  <si>
    <t xml:space="preserve">반쪽만 있는 다리</t>
  </si>
  <si>
    <t xml:space="preserve">n43</t>
  </si>
  <si>
    <r>
      <rPr>
        <sz val="10"/>
        <rFont val="WenQuanYi Zen Hei"/>
        <family val="2"/>
      </rPr>
      <t xml:space="preserve">오른쪽은 똑같습니다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그러니 다시 칠 필요가 없습니다</t>
    </r>
    <r>
      <rPr>
        <sz val="10"/>
        <rFont val="Arial"/>
        <family val="0"/>
        <charset val="1"/>
      </rPr>
      <t xml:space="preserve">.</t>
    </r>
  </si>
  <si>
    <t xml:space="preserve">The right half is the same, so it does not get typed again.</t>
  </si>
  <si>
    <t xml:space="preserve">한 줄 강조</t>
  </si>
  <si>
    <t xml:space="preserve">n44</t>
  </si>
  <si>
    <r>
      <rPr>
        <sz val="10"/>
        <rFont val="WenQuanYi Zen Hei"/>
        <family val="2"/>
      </rPr>
      <t xml:space="preserve">한 줄이면 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중앙을 기준으로 뒤집습니다</t>
    </r>
    <r>
      <rPr>
        <sz val="10"/>
        <rFont val="Arial"/>
        <family val="0"/>
        <charset val="1"/>
      </rPr>
      <t xml:space="preserve">.</t>
    </r>
  </si>
  <si>
    <t xml:space="preserve">One row. Mirror about mid-span.</t>
  </si>
  <si>
    <t xml:space="preserve">ASSY as.stay as.stay MIR 0 0 0 YZ</t>
  </si>
  <si>
    <t xml:space="preserve">n45</t>
  </si>
  <si>
    <r>
      <rPr>
        <sz val="10"/>
        <rFont val="WenQuanYi Zen Hei"/>
        <family val="2"/>
      </rPr>
      <t xml:space="preserve">그리고 이렇게 쓰면 좌우가 다르게 틀릴 수가 없습니다</t>
    </r>
    <r>
      <rPr>
        <sz val="10"/>
        <rFont val="Arial"/>
        <family val="0"/>
        <charset val="1"/>
      </rPr>
      <t xml:space="preserve">.</t>
    </r>
  </si>
  <si>
    <t xml:space="preserve">And written this way, the two halves cannot disagree.</t>
  </si>
  <si>
    <t xml:space="preserve">전체 다리 완성</t>
  </si>
  <si>
    <t xml:space="preserve">n46</t>
  </si>
  <si>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출력</t>
    </r>
  </si>
  <si>
    <r>
      <rPr>
        <sz val="10"/>
        <rFont val="WenQuanYi Zen Hei"/>
        <family val="2"/>
      </rPr>
      <t xml:space="preserve">모델이 됐으면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이제 받을 것을 받습니다</t>
    </r>
    <r>
      <rPr>
        <sz val="10"/>
        <rFont val="Arial"/>
        <family val="0"/>
        <charset val="1"/>
      </rPr>
      <t xml:space="preserve">.</t>
    </r>
  </si>
  <si>
    <t xml:space="preserve">The model is done. Now take what it gives you.</t>
  </si>
  <si>
    <t xml:space="preserve">완성된 다리</t>
  </si>
  <si>
    <t xml:space="preserve">n47</t>
  </si>
  <si>
    <r>
      <rPr>
        <sz val="10"/>
        <rFont val="WenQuanYi Zen Hei"/>
        <family val="2"/>
      </rPr>
      <t xml:space="preserve">어떤 그림이 필요한지 시트에 적습니다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 줄이 도면 한 장입니다</t>
    </r>
    <r>
      <rPr>
        <sz val="10"/>
        <rFont val="Arial"/>
        <family val="0"/>
        <charset val="1"/>
      </rPr>
      <t xml:space="preserve">.</t>
    </r>
  </si>
  <si>
    <t xml:space="preserve">Say which drawings you want, in the sheet. One row, one drawing.</t>
  </si>
  <si>
    <t xml:space="preserve">VIEW ALL FRONT … 2000 …</t>
  </si>
  <si>
    <t xml:space="preserve">n48</t>
  </si>
  <si>
    <r>
      <rPr>
        <sz val="10"/>
        <rFont val="WenQuanYi Zen Hei"/>
        <family val="2"/>
      </rPr>
      <t xml:space="preserve">일반도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평면도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주탑 입면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주탑 단면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축척도 그 줄에 같이 적습니다</t>
    </r>
    <r>
      <rPr>
        <sz val="10"/>
        <rFont val="Arial"/>
        <family val="0"/>
        <charset val="1"/>
      </rPr>
      <t xml:space="preserve">.</t>
    </r>
  </si>
  <si>
    <t xml:space="preserve">General arrangement, plan, pylon elevation, pylon section — the scale goes on the row too.</t>
  </si>
  <si>
    <r>
      <rPr>
        <sz val="10"/>
        <rFont val="Arial"/>
        <family val="0"/>
        <charset val="1"/>
      </rPr>
      <t xml:space="preserve">VIEW </t>
    </r>
    <r>
      <rPr>
        <sz val="10"/>
        <rFont val="WenQuanYi Zen Hei"/>
        <family val="2"/>
      </rPr>
      <t xml:space="preserve">여덟 줄</t>
    </r>
  </si>
  <si>
    <t xml:space="preserve">n49</t>
  </si>
  <si>
    <r>
      <rPr>
        <sz val="10"/>
        <rFont val="WenQuanYi Zen Hei"/>
        <family val="2"/>
      </rPr>
      <t xml:space="preserve">그리고 </t>
    </r>
    <r>
      <rPr>
        <sz val="10"/>
        <rFont val="Arial"/>
        <family val="0"/>
        <charset val="1"/>
      </rPr>
      <t xml:space="preserve">Save DXF.</t>
    </r>
  </si>
  <si>
    <t xml:space="preserve">Then Save DXF.</t>
  </si>
  <si>
    <r>
      <rPr>
        <sz val="10"/>
        <rFont val="WenQuanYi Zen Hei"/>
        <family val="2"/>
      </rPr>
      <t xml:space="preserve">버튼 → </t>
    </r>
    <r>
      <rPr>
        <sz val="10"/>
        <rFont val="Arial"/>
        <family val="0"/>
        <charset val="1"/>
      </rPr>
      <t xml:space="preserve">DXF</t>
    </r>
  </si>
  <si>
    <t xml:space="preserve">n50</t>
  </si>
  <si>
    <r>
      <rPr>
        <sz val="10"/>
        <rFont val="WenQuanYi Zen Hei"/>
        <family val="2"/>
      </rPr>
      <t xml:space="preserve">도면 여덟 장이 한 파일로 나옵니다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캐드에서 바로 열립니다</t>
    </r>
    <r>
      <rPr>
        <sz val="10"/>
        <rFont val="Arial"/>
        <family val="0"/>
        <charset val="1"/>
      </rPr>
      <t xml:space="preserve">.</t>
    </r>
  </si>
  <si>
    <t xml:space="preserve">Eight drawings, one file, straight into CAD.</t>
  </si>
  <si>
    <t xml:space="preserve">도면 여덟 장</t>
  </si>
  <si>
    <t xml:space="preserve">n51</t>
  </si>
  <si>
    <r>
      <rPr>
        <sz val="10"/>
        <rFont val="WenQuanYi Zen Hei"/>
        <family val="2"/>
      </rPr>
      <t xml:space="preserve">물량표도 버튼 하나입니다</t>
    </r>
    <r>
      <rPr>
        <sz val="10"/>
        <rFont val="Arial"/>
        <family val="0"/>
        <charset val="1"/>
      </rPr>
      <t xml:space="preserve">. Save BOQ.</t>
    </r>
  </si>
  <si>
    <t xml:space="preserve">The take-off is one button too. Save BOQ.</t>
  </si>
  <si>
    <t xml:space="preserve">버튼 → 워크북</t>
  </si>
  <si>
    <t xml:space="preserve">n52</t>
  </si>
  <si>
    <r>
      <rPr>
        <sz val="10"/>
        <rFont val="WenQuanYi Zen Hei"/>
        <family val="2"/>
      </rPr>
      <t xml:space="preserve">부재별로 규격과 수량과 길이가 정리돼서 나옵니다</t>
    </r>
    <r>
      <rPr>
        <sz val="10"/>
        <rFont val="Arial"/>
        <family val="0"/>
        <charset val="1"/>
      </rPr>
      <t xml:space="preserve">.</t>
    </r>
  </si>
  <si>
    <t xml:space="preserve">Every member, by size, count and length.</t>
  </si>
  <si>
    <r>
      <rPr>
        <sz val="10"/>
        <rFont val="Arial"/>
        <family val="0"/>
        <charset val="1"/>
      </rPr>
      <t xml:space="preserve">BOQ </t>
    </r>
    <r>
      <rPr>
        <sz val="10"/>
        <rFont val="WenQuanYi Zen Hei"/>
        <family val="2"/>
      </rPr>
      <t xml:space="preserve">워크북 스크롤</t>
    </r>
  </si>
  <si>
    <t xml:space="preserve">n53</t>
  </si>
  <si>
    <r>
      <rPr>
        <sz val="10"/>
        <rFont val="WenQuanYi Zen Hei"/>
        <family val="2"/>
      </rPr>
      <t xml:space="preserve">모델 하나로 그림과 수량이 같이 나옵니다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따로 세지 않아도 됩니다</t>
    </r>
    <r>
      <rPr>
        <sz val="10"/>
        <rFont val="Arial"/>
        <family val="0"/>
        <charset val="1"/>
      </rPr>
      <t xml:space="preserve">.</t>
    </r>
  </si>
  <si>
    <t xml:space="preserve">One model, and both the drawings and the quantities come out of it.</t>
  </si>
  <si>
    <r>
      <rPr>
        <sz val="10"/>
        <rFont val="WenQuanYi Zen Hei"/>
        <family val="2"/>
      </rPr>
      <t xml:space="preserve">도면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물량표 나란히</t>
    </r>
  </si>
  <si>
    <t xml:space="preserve">n54</t>
  </si>
  <si>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마무리</t>
    </r>
  </si>
  <si>
    <r>
      <rPr>
        <sz val="10"/>
        <rFont val="WenQuanYi Zen Hei"/>
        <family val="2"/>
      </rPr>
      <t xml:space="preserve">정리하면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단면을 쓰고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어디에 놓을지 쓰고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대칭으로 뒤집습니다</t>
    </r>
    <r>
      <rPr>
        <sz val="10"/>
        <rFont val="Arial"/>
        <family val="0"/>
        <charset val="1"/>
      </rPr>
      <t xml:space="preserve">.</t>
    </r>
  </si>
  <si>
    <t xml:space="preserve">So: write the section, write where it goes, mirror it.</t>
  </si>
  <si>
    <t xml:space="preserve">세 줄 요약</t>
  </si>
  <si>
    <t xml:space="preserve">n55</t>
  </si>
  <si>
    <r>
      <rPr>
        <sz val="10"/>
        <rFont val="WenQuanYi Zen Hei"/>
        <family val="2"/>
      </rPr>
      <t xml:space="preserve">그게 전부입니다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이걸 반복하는 겁니다</t>
    </r>
    <r>
      <rPr>
        <sz val="10"/>
        <rFont val="Arial"/>
        <family val="0"/>
        <charset val="1"/>
      </rPr>
      <t xml:space="preserve">.</t>
    </r>
  </si>
  <si>
    <t xml:space="preserve">That is all of it. The rest is that, repeated.</t>
  </si>
  <si>
    <t xml:space="preserve">n56</t>
  </si>
  <si>
    <r>
      <rPr>
        <sz val="10"/>
        <rFont val="WenQuanYi Zen Hei"/>
        <family val="2"/>
      </rPr>
      <t xml:space="preserve">인천대교 파일은 예제에 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받아서 숫자 하나 바꿔 보세요</t>
    </r>
    <r>
      <rPr>
        <sz val="10"/>
        <rFont val="Arial"/>
        <family val="0"/>
        <charset val="1"/>
      </rPr>
      <t xml:space="preserve">.</t>
    </r>
  </si>
  <si>
    <t xml:space="preserve">The Incheon file is in the Example list. Take it, change a number.</t>
  </si>
  <si>
    <t xml:space="preserve">사이트</t>
  </si>
  <si>
    <t xml:space="preserve">n57</t>
  </si>
  <si>
    <r>
      <rPr>
        <sz val="10"/>
        <rFont val="WenQuanYi Zen Hei"/>
        <family val="2"/>
      </rPr>
      <t xml:space="preserve">브라우저에서 바로 돌아갑니다</t>
    </r>
    <r>
      <rPr>
        <sz val="10"/>
        <rFont val="Arial"/>
        <family val="0"/>
        <charset val="1"/>
      </rPr>
      <t xml:space="preserve">. macroBIM 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</si>
  <si>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t xml:space="preserve">It runs in the browser. macroBIM.</t>
  </si>
  <si>
    <t xml:space="preserve">로고</t>
  </si>
  <si>
    <t xml:space="preserve">합계</t>
  </si>
  <si>
    <r>
      <rPr>
        <sz val="10"/>
        <color rgb="FF64748B"/>
        <rFont val="WenQuanYi Zen Hei"/>
        <family val="2"/>
      </rPr>
      <t xml:space="preserve">노란 「실제초」가 비면 「예상초」로 계산합니다</t>
    </r>
    <r>
      <rPr>
        <sz val="10"/>
        <color rgb="FF64748B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</si>
  <si>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이 탭의 </t>
    </r>
    <r>
      <rPr>
        <b val="true"/>
        <sz val="11"/>
        <rFont val="Arial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열을 그대로 </t>
    </r>
    <r>
      <rPr>
        <b val="true"/>
        <sz val="11"/>
        <rFont val="Arial"/>
        <family val="0"/>
        <charset val="1"/>
      </rPr>
      <t xml:space="preserve">TTS </t>
    </r>
    <r>
      <rPr>
        <b val="true"/>
        <sz val="11"/>
        <rFont val="WenQuanYi Zen Hei"/>
        <family val="2"/>
      </rPr>
      <t xml:space="preserve">에 넘기고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파일 이름을 </t>
    </r>
    <r>
      <rPr>
        <b val="true"/>
        <sz val="11"/>
        <rFont val="Arial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열로 저장하세요</t>
    </r>
    <r>
      <rPr>
        <b val="true"/>
        <sz val="11"/>
        <rFont val="Arial"/>
        <family val="0"/>
        <charset val="1"/>
      </rPr>
      <t xml:space="preserve">.</t>
    </r>
  </si>
  <si>
    <r>
      <rPr>
        <sz val="10"/>
        <color rgb="FF64748B"/>
        <rFont val="WenQuanYi Zen Hei"/>
        <family val="2"/>
      </rPr>
      <t xml:space="preserve">문장마다 파일 하나씩입니다</t>
    </r>
    <r>
      <rPr>
        <sz val="10"/>
        <color rgb="FF64748B"/>
        <rFont val="Arial"/>
        <family val="0"/>
        <charset val="1"/>
      </rPr>
      <t xml:space="preserve">. </t>
    </r>
    <r>
      <rPr>
        <sz val="10"/>
        <color rgb="FF64748B"/>
        <rFont val="WenQuanYi Zen Hei"/>
        <family val="2"/>
      </rPr>
      <t xml:space="preserve">한 덩어리로 받으면 길이를 따로 잴 수 없습니다</t>
    </r>
    <r>
      <rPr>
        <sz val="10"/>
        <color rgb="FF64748B"/>
        <rFont val="Arial"/>
        <family val="0"/>
        <charset val="1"/>
      </rPr>
      <t xml:space="preserve">.</t>
    </r>
  </si>
  <si>
    <t xml:space="preserve">파일명</t>
  </si>
  <si>
    <t xml:space="preserve">읽을 말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</si>
</sst>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64748B"/>
      <name val="WenQuanYi Zen Hei"/>
      <family val="2"/>
    </font>
    <font>
      <sz val="10"/>
      <color rgb="FF64748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415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  <c r="B5" s="5" t="n">
        <v>5.5</v>
      </c>
    </row>
    <row r="6" customFormat="false" ht="15" hidden="false" customHeight="false" outlineLevel="0" collapsed="false">
      <c r="A6" s="4" t="s">
        <v>3</v>
      </c>
      <c r="B6" s="5" t="n">
        <v>0.5</v>
      </c>
    </row>
    <row r="7" customFormat="false" ht="15" hidden="false" customHeight="false" outlineLevel="0" collapsed="false">
      <c r="A7" s="4" t="s">
        <v>4</v>
      </c>
      <c r="B7" s="5" t="n">
        <v>1.2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52"/>
    <col collapsed="false" customWidth="true" hidden="false" outlineLevel="0" max="5" min="5" style="0" width="40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11" min="9" style="0" width="8"/>
  </cols>
  <sheetData>
    <row r="1" customFormat="false" ht="15" hidden="false" customHeight="false" outlineLevel="0" collapsed="false">
      <c r="A1" s="6" t="s">
        <v>10</v>
      </c>
      <c r="B1" s="6" t="s">
        <v>11</v>
      </c>
      <c r="C1" s="6" t="s">
        <v>12</v>
      </c>
      <c r="D1" s="7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customFormat="false" ht="15" hidden="false" customHeight="false" outlineLevel="0" collapsed="false">
      <c r="A2" s="8" t="s">
        <v>21</v>
      </c>
      <c r="B2" s="8" t="s">
        <v>22</v>
      </c>
      <c r="C2" s="9" t="s">
        <v>23</v>
      </c>
      <c r="D2" s="10" t="s">
        <v>24</v>
      </c>
      <c r="E2" s="9" t="s">
        <v>25</v>
      </c>
      <c r="F2" s="11" t="n">
        <f aca="false">LEN(SUBSTITUTE(C2," ",""))</f>
        <v>18</v>
      </c>
      <c r="G2" s="12" t="n">
        <f aca="false">ROUND(F2/설정!$B$5+0.3,1)</f>
        <v>3.6</v>
      </c>
      <c r="H2" s="13"/>
      <c r="I2" s="12" t="n">
        <f aca="false">IF(H2="",G2,H2)</f>
        <v>3.6</v>
      </c>
      <c r="J2" s="12" t="n">
        <v>0</v>
      </c>
      <c r="K2" s="12" t="n">
        <f aca="false">ROUND(J2+I2,1)</f>
        <v>3.6</v>
      </c>
    </row>
    <row r="3" customFormat="false" ht="15" hidden="false" customHeight="false" outlineLevel="0" collapsed="false">
      <c r="A3" s="8" t="s">
        <v>26</v>
      </c>
      <c r="B3" s="8" t="s">
        <v>22</v>
      </c>
      <c r="C3" s="9" t="s">
        <v>27</v>
      </c>
      <c r="D3" s="10" t="s">
        <v>28</v>
      </c>
      <c r="E3" s="9" t="s">
        <v>29</v>
      </c>
      <c r="F3" s="11" t="n">
        <f aca="false">LEN(SUBSTITUTE(C3," ",""))</f>
        <v>13</v>
      </c>
      <c r="G3" s="12" t="n">
        <f aca="false">ROUND(F3/설정!$B$5+0.3,1)</f>
        <v>2.7</v>
      </c>
      <c r="H3" s="13"/>
      <c r="I3" s="12" t="n">
        <f aca="false">IF(H3="",G3,H3)</f>
        <v>2.7</v>
      </c>
      <c r="J3" s="12" t="n">
        <f aca="false">ROUND(K2+IF(B3=B2,설정!$B$6,설정!$B$7),1)</f>
        <v>4.1</v>
      </c>
      <c r="K3" s="12" t="n">
        <f aca="false">ROUND(J3+I3,1)</f>
        <v>6.8</v>
      </c>
    </row>
    <row r="4" customFormat="false" ht="15" hidden="false" customHeight="false" outlineLevel="0" collapsed="false">
      <c r="A4" s="8" t="s">
        <v>30</v>
      </c>
      <c r="B4" s="8" t="s">
        <v>22</v>
      </c>
      <c r="C4" s="9" t="s">
        <v>31</v>
      </c>
      <c r="D4" s="10" t="s">
        <v>32</v>
      </c>
      <c r="E4" s="9" t="s">
        <v>33</v>
      </c>
      <c r="F4" s="11" t="n">
        <f aca="false">LEN(SUBSTITUTE(C4," ",""))</f>
        <v>22</v>
      </c>
      <c r="G4" s="12" t="n">
        <f aca="false">ROUND(F4/설정!$B$5+0.3,1)</f>
        <v>4.3</v>
      </c>
      <c r="H4" s="13"/>
      <c r="I4" s="12" t="n">
        <f aca="false">IF(H4="",G4,H4)</f>
        <v>4.3</v>
      </c>
      <c r="J4" s="12" t="n">
        <f aca="false">ROUND(K3+IF(B4=B3,설정!$B$6,설정!$B$7),1)</f>
        <v>7.3</v>
      </c>
      <c r="K4" s="12" t="n">
        <f aca="false">ROUND(J4+I4,1)</f>
        <v>11.6</v>
      </c>
    </row>
    <row r="5" customFormat="false" ht="15" hidden="false" customHeight="false" outlineLevel="0" collapsed="false">
      <c r="A5" s="8" t="s">
        <v>34</v>
      </c>
      <c r="B5" s="8" t="s">
        <v>22</v>
      </c>
      <c r="C5" s="9" t="s">
        <v>35</v>
      </c>
      <c r="D5" s="10" t="s">
        <v>36</v>
      </c>
      <c r="E5" s="9" t="s">
        <v>37</v>
      </c>
      <c r="F5" s="11" t="n">
        <f aca="false">LEN(SUBSTITUTE(C5," ",""))</f>
        <v>15</v>
      </c>
      <c r="G5" s="12" t="n">
        <f aca="false">ROUND(F5/설정!$B$5+0.3,1)</f>
        <v>3</v>
      </c>
      <c r="H5" s="13"/>
      <c r="I5" s="12" t="n">
        <f aca="false">IF(H5="",G5,H5)</f>
        <v>3</v>
      </c>
      <c r="J5" s="12" t="n">
        <f aca="false">ROUND(K4+IF(B5=B4,설정!$B$6,설정!$B$7),1)</f>
        <v>12.1</v>
      </c>
      <c r="K5" s="12" t="n">
        <f aca="false">ROUND(J5+I5,1)</f>
        <v>15.1</v>
      </c>
    </row>
    <row r="6" customFormat="false" ht="26.85" hidden="false" customHeight="false" outlineLevel="0" collapsed="false">
      <c r="A6" s="8" t="s">
        <v>38</v>
      </c>
      <c r="B6" s="8" t="s">
        <v>39</v>
      </c>
      <c r="C6" s="9" t="s">
        <v>40</v>
      </c>
      <c r="D6" s="10" t="s">
        <v>41</v>
      </c>
      <c r="E6" s="9" t="s">
        <v>42</v>
      </c>
      <c r="F6" s="11" t="n">
        <f aca="false">LEN(SUBSTITUTE(C6," ",""))</f>
        <v>41</v>
      </c>
      <c r="G6" s="12" t="n">
        <f aca="false">ROUND(F6/설정!$B$5+0.3,1)</f>
        <v>7.8</v>
      </c>
      <c r="H6" s="13"/>
      <c r="I6" s="12" t="n">
        <f aca="false">IF(H6="",G6,H6)</f>
        <v>7.8</v>
      </c>
      <c r="J6" s="12" t="n">
        <f aca="false">ROUND(K5+IF(B6=B5,설정!$B$6,설정!$B$7),1)</f>
        <v>16.3</v>
      </c>
      <c r="K6" s="12" t="n">
        <f aca="false">ROUND(J6+I6,1)</f>
        <v>24.1</v>
      </c>
    </row>
    <row r="7" customFormat="false" ht="15" hidden="false" customHeight="false" outlineLevel="0" collapsed="false">
      <c r="A7" s="8" t="s">
        <v>43</v>
      </c>
      <c r="B7" s="8" t="s">
        <v>39</v>
      </c>
      <c r="C7" s="9" t="s">
        <v>44</v>
      </c>
      <c r="D7" s="10" t="s">
        <v>45</v>
      </c>
      <c r="E7" s="9" t="s">
        <v>46</v>
      </c>
      <c r="F7" s="11" t="n">
        <f aca="false">LEN(SUBSTITUTE(C7," ",""))</f>
        <v>31</v>
      </c>
      <c r="G7" s="12" t="n">
        <f aca="false">ROUND(F7/설정!$B$5+0.3,1)</f>
        <v>5.9</v>
      </c>
      <c r="H7" s="13"/>
      <c r="I7" s="12" t="n">
        <f aca="false">IF(H7="",G7,H7)</f>
        <v>5.9</v>
      </c>
      <c r="J7" s="12" t="n">
        <f aca="false">ROUND(K6+IF(B7=B6,설정!$B$6,설정!$B$7),1)</f>
        <v>24.6</v>
      </c>
      <c r="K7" s="12" t="n">
        <f aca="false">ROUND(J7+I7,1)</f>
        <v>30.5</v>
      </c>
    </row>
    <row r="8" customFormat="false" ht="23.85" hidden="false" customHeight="false" outlineLevel="0" collapsed="false">
      <c r="A8" s="8" t="s">
        <v>47</v>
      </c>
      <c r="B8" s="8" t="s">
        <v>39</v>
      </c>
      <c r="C8" s="9" t="s">
        <v>48</v>
      </c>
      <c r="D8" s="10" t="s">
        <v>49</v>
      </c>
      <c r="E8" s="10" t="s">
        <v>50</v>
      </c>
      <c r="F8" s="11" t="n">
        <f aca="false">LEN(SUBSTITUTE(C8," ",""))</f>
        <v>37</v>
      </c>
      <c r="G8" s="12" t="n">
        <f aca="false">ROUND(F8/설정!$B$5+0.3,1)</f>
        <v>7</v>
      </c>
      <c r="H8" s="13"/>
      <c r="I8" s="12" t="n">
        <f aca="false">IF(H8="",G8,H8)</f>
        <v>7</v>
      </c>
      <c r="J8" s="12" t="n">
        <f aca="false">ROUND(K7+IF(B8=B7,설정!$B$6,설정!$B$7),1)</f>
        <v>31</v>
      </c>
      <c r="K8" s="12" t="n">
        <f aca="false">ROUND(J8+I8,1)</f>
        <v>38</v>
      </c>
    </row>
    <row r="9" customFormat="false" ht="15" hidden="false" customHeight="false" outlineLevel="0" collapsed="false">
      <c r="A9" s="8" t="s">
        <v>51</v>
      </c>
      <c r="B9" s="8" t="s">
        <v>39</v>
      </c>
      <c r="C9" s="9" t="s">
        <v>52</v>
      </c>
      <c r="D9" s="10" t="s">
        <v>53</v>
      </c>
      <c r="E9" s="9" t="s">
        <v>54</v>
      </c>
      <c r="F9" s="11" t="n">
        <f aca="false">LEN(SUBSTITUTE(C9," ",""))</f>
        <v>28</v>
      </c>
      <c r="G9" s="12" t="n">
        <f aca="false">ROUND(F9/설정!$B$5+0.3,1)</f>
        <v>5.4</v>
      </c>
      <c r="H9" s="13"/>
      <c r="I9" s="12" t="n">
        <f aca="false">IF(H9="",G9,H9)</f>
        <v>5.4</v>
      </c>
      <c r="J9" s="12" t="n">
        <f aca="false">ROUND(K8+IF(B9=B8,설정!$B$6,설정!$B$7),1)</f>
        <v>38.5</v>
      </c>
      <c r="K9" s="12" t="n">
        <f aca="false">ROUND(J9+I9,1)</f>
        <v>43.9</v>
      </c>
    </row>
    <row r="10" customFormat="false" ht="15" hidden="false" customHeight="false" outlineLevel="0" collapsed="false">
      <c r="A10" s="8" t="s">
        <v>55</v>
      </c>
      <c r="B10" s="8" t="s">
        <v>56</v>
      </c>
      <c r="C10" s="9" t="s">
        <v>57</v>
      </c>
      <c r="D10" s="10" t="s">
        <v>58</v>
      </c>
      <c r="E10" s="9" t="s">
        <v>59</v>
      </c>
      <c r="F10" s="11" t="n">
        <f aca="false">LEN(SUBSTITUTE(C10," ",""))</f>
        <v>21</v>
      </c>
      <c r="G10" s="12" t="n">
        <f aca="false">ROUND(F10/설정!$B$5+0.3,1)</f>
        <v>4.1</v>
      </c>
      <c r="H10" s="13"/>
      <c r="I10" s="12" t="n">
        <f aca="false">IF(H10="",G10,H10)</f>
        <v>4.1</v>
      </c>
      <c r="J10" s="12" t="n">
        <f aca="false">ROUND(K9+IF(B10=B9,설정!$B$6,설정!$B$7),1)</f>
        <v>45.1</v>
      </c>
      <c r="K10" s="12" t="n">
        <f aca="false">ROUND(J10+I10,1)</f>
        <v>49.2</v>
      </c>
    </row>
    <row r="11" customFormat="false" ht="15" hidden="false" customHeight="false" outlineLevel="0" collapsed="false">
      <c r="A11" s="8" t="s">
        <v>60</v>
      </c>
      <c r="B11" s="8" t="s">
        <v>56</v>
      </c>
      <c r="C11" s="9" t="s">
        <v>61</v>
      </c>
      <c r="D11" s="10" t="s">
        <v>62</v>
      </c>
      <c r="E11" s="10" t="s">
        <v>63</v>
      </c>
      <c r="F11" s="11" t="n">
        <f aca="false">LEN(SUBSTITUTE(C11," ",""))</f>
        <v>33</v>
      </c>
      <c r="G11" s="12" t="n">
        <f aca="false">ROUND(F11/설정!$B$5+0.3,1)</f>
        <v>6.3</v>
      </c>
      <c r="H11" s="13"/>
      <c r="I11" s="12" t="n">
        <f aca="false">IF(H11="",G11,H11)</f>
        <v>6.3</v>
      </c>
      <c r="J11" s="12" t="n">
        <f aca="false">ROUND(K10+IF(B11=B10,설정!$B$6,설정!$B$7),1)</f>
        <v>49.7</v>
      </c>
      <c r="K11" s="12" t="n">
        <f aca="false">ROUND(J11+I11,1)</f>
        <v>56</v>
      </c>
    </row>
    <row r="12" customFormat="false" ht="15" hidden="false" customHeight="false" outlineLevel="0" collapsed="false">
      <c r="A12" s="8" t="s">
        <v>64</v>
      </c>
      <c r="B12" s="8" t="s">
        <v>56</v>
      </c>
      <c r="C12" s="9" t="s">
        <v>65</v>
      </c>
      <c r="D12" s="10" t="s">
        <v>66</v>
      </c>
      <c r="E12" s="10" t="s">
        <v>67</v>
      </c>
      <c r="F12" s="11" t="n">
        <f aca="false">LEN(SUBSTITUTE(C12," ",""))</f>
        <v>30</v>
      </c>
      <c r="G12" s="12" t="n">
        <f aca="false">ROUND(F12/설정!$B$5+0.3,1)</f>
        <v>5.8</v>
      </c>
      <c r="H12" s="13"/>
      <c r="I12" s="12" t="n">
        <f aca="false">IF(H12="",G12,H12)</f>
        <v>5.8</v>
      </c>
      <c r="J12" s="12" t="n">
        <f aca="false">ROUND(K11+IF(B12=B11,설정!$B$6,설정!$B$7),1)</f>
        <v>56.5</v>
      </c>
      <c r="K12" s="12" t="n">
        <f aca="false">ROUND(J12+I12,1)</f>
        <v>62.3</v>
      </c>
    </row>
    <row r="13" customFormat="false" ht="15" hidden="false" customHeight="false" outlineLevel="0" collapsed="false">
      <c r="A13" s="8" t="s">
        <v>68</v>
      </c>
      <c r="B13" s="8" t="s">
        <v>56</v>
      </c>
      <c r="C13" s="9" t="s">
        <v>69</v>
      </c>
      <c r="D13" s="10" t="s">
        <v>70</v>
      </c>
      <c r="E13" s="10" t="s">
        <v>71</v>
      </c>
      <c r="F13" s="11" t="n">
        <f aca="false">LEN(SUBSTITUTE(C13," ",""))</f>
        <v>27</v>
      </c>
      <c r="G13" s="12" t="n">
        <f aca="false">ROUND(F13/설정!$B$5+0.3,1)</f>
        <v>5.2</v>
      </c>
      <c r="H13" s="13"/>
      <c r="I13" s="12" t="n">
        <f aca="false">IF(H13="",G13,H13)</f>
        <v>5.2</v>
      </c>
      <c r="J13" s="12" t="n">
        <f aca="false">ROUND(K12+IF(B13=B12,설정!$B$6,설정!$B$7),1)</f>
        <v>62.8</v>
      </c>
      <c r="K13" s="12" t="n">
        <f aca="false">ROUND(J13+I13,1)</f>
        <v>68</v>
      </c>
    </row>
    <row r="14" customFormat="false" ht="15" hidden="false" customHeight="false" outlineLevel="0" collapsed="false">
      <c r="A14" s="8" t="s">
        <v>72</v>
      </c>
      <c r="B14" s="8" t="s">
        <v>56</v>
      </c>
      <c r="C14" s="9" t="s">
        <v>73</v>
      </c>
      <c r="D14" s="10" t="s">
        <v>74</v>
      </c>
      <c r="E14" s="10" t="s">
        <v>75</v>
      </c>
      <c r="F14" s="11" t="n">
        <f aca="false">LEN(SUBSTITUTE(C14," ",""))</f>
        <v>16</v>
      </c>
      <c r="G14" s="12" t="n">
        <f aca="false">ROUND(F14/설정!$B$5+0.3,1)</f>
        <v>3.2</v>
      </c>
      <c r="H14" s="13"/>
      <c r="I14" s="12" t="n">
        <f aca="false">IF(H14="",G14,H14)</f>
        <v>3.2</v>
      </c>
      <c r="J14" s="12" t="n">
        <f aca="false">ROUND(K13+IF(B14=B13,설정!$B$6,설정!$B$7),1)</f>
        <v>68.5</v>
      </c>
      <c r="K14" s="12" t="n">
        <f aca="false">ROUND(J14+I14,1)</f>
        <v>71.7</v>
      </c>
    </row>
    <row r="15" customFormat="false" ht="15" hidden="false" customHeight="false" outlineLevel="0" collapsed="false">
      <c r="A15" s="8" t="s">
        <v>76</v>
      </c>
      <c r="B15" s="8" t="s">
        <v>56</v>
      </c>
      <c r="C15" s="9" t="s">
        <v>77</v>
      </c>
      <c r="D15" s="10" t="s">
        <v>78</v>
      </c>
      <c r="E15" s="10" t="s">
        <v>79</v>
      </c>
      <c r="F15" s="11" t="n">
        <f aca="false">LEN(SUBSTITUTE(C15," ",""))</f>
        <v>20</v>
      </c>
      <c r="G15" s="12" t="n">
        <f aca="false">ROUND(F15/설정!$B$5+0.3,1)</f>
        <v>3.9</v>
      </c>
      <c r="H15" s="13"/>
      <c r="I15" s="12" t="n">
        <f aca="false">IF(H15="",G15,H15)</f>
        <v>3.9</v>
      </c>
      <c r="J15" s="12" t="n">
        <f aca="false">ROUND(K14+IF(B15=B14,설정!$B$6,설정!$B$7),1)</f>
        <v>72.2</v>
      </c>
      <c r="K15" s="12" t="n">
        <f aca="false">ROUND(J15+I15,1)</f>
        <v>76.1</v>
      </c>
    </row>
    <row r="16" customFormat="false" ht="15" hidden="false" customHeight="false" outlineLevel="0" collapsed="false">
      <c r="A16" s="8" t="s">
        <v>80</v>
      </c>
      <c r="B16" s="8" t="s">
        <v>56</v>
      </c>
      <c r="C16" s="9" t="s">
        <v>81</v>
      </c>
      <c r="D16" s="10" t="s">
        <v>82</v>
      </c>
      <c r="E16" s="9" t="s">
        <v>83</v>
      </c>
      <c r="F16" s="11" t="n">
        <f aca="false">LEN(SUBSTITUTE(C16," ",""))</f>
        <v>18</v>
      </c>
      <c r="G16" s="12" t="n">
        <f aca="false">ROUND(F16/설정!$B$5+0.3,1)</f>
        <v>3.6</v>
      </c>
      <c r="H16" s="13"/>
      <c r="I16" s="12" t="n">
        <f aca="false">IF(H16="",G16,H16)</f>
        <v>3.6</v>
      </c>
      <c r="J16" s="12" t="n">
        <f aca="false">ROUND(K15+IF(B16=B15,설정!$B$6,설정!$B$7),1)</f>
        <v>76.6</v>
      </c>
      <c r="K16" s="12" t="n">
        <f aca="false">ROUND(J16+I16,1)</f>
        <v>80.2</v>
      </c>
    </row>
    <row r="17" customFormat="false" ht="15" hidden="false" customHeight="false" outlineLevel="0" collapsed="false">
      <c r="A17" s="8" t="s">
        <v>84</v>
      </c>
      <c r="B17" s="8" t="s">
        <v>56</v>
      </c>
      <c r="C17" s="9" t="s">
        <v>85</v>
      </c>
      <c r="D17" s="10" t="s">
        <v>86</v>
      </c>
      <c r="E17" s="9" t="s">
        <v>87</v>
      </c>
      <c r="F17" s="11" t="n">
        <f aca="false">LEN(SUBSTITUTE(C17," ",""))</f>
        <v>30</v>
      </c>
      <c r="G17" s="12" t="n">
        <f aca="false">ROUND(F17/설정!$B$5+0.3,1)</f>
        <v>5.8</v>
      </c>
      <c r="H17" s="13"/>
      <c r="I17" s="12" t="n">
        <f aca="false">IF(H17="",G17,H17)</f>
        <v>5.8</v>
      </c>
      <c r="J17" s="12" t="n">
        <f aca="false">ROUND(K16+IF(B17=B16,설정!$B$6,설정!$B$7),1)</f>
        <v>80.7</v>
      </c>
      <c r="K17" s="12" t="n">
        <f aca="false">ROUND(J17+I17,1)</f>
        <v>86.5</v>
      </c>
    </row>
    <row r="18" customFormat="false" ht="15" hidden="false" customHeight="false" outlineLevel="0" collapsed="false">
      <c r="A18" s="8" t="s">
        <v>88</v>
      </c>
      <c r="B18" s="8" t="s">
        <v>56</v>
      </c>
      <c r="C18" s="9" t="s">
        <v>89</v>
      </c>
      <c r="D18" s="10" t="s">
        <v>90</v>
      </c>
      <c r="E18" s="9" t="s">
        <v>91</v>
      </c>
      <c r="F18" s="11" t="n">
        <f aca="false">LEN(SUBSTITUTE(C18," ",""))</f>
        <v>28</v>
      </c>
      <c r="G18" s="12" t="n">
        <f aca="false">ROUND(F18/설정!$B$5+0.3,1)</f>
        <v>5.4</v>
      </c>
      <c r="H18" s="13"/>
      <c r="I18" s="12" t="n">
        <f aca="false">IF(H18="",G18,H18)</f>
        <v>5.4</v>
      </c>
      <c r="J18" s="12" t="n">
        <f aca="false">ROUND(K17+IF(B18=B17,설정!$B$6,설정!$B$7),1)</f>
        <v>87</v>
      </c>
      <c r="K18" s="12" t="n">
        <f aca="false">ROUND(J18+I18,1)</f>
        <v>92.4</v>
      </c>
    </row>
    <row r="19" customFormat="false" ht="15" hidden="false" customHeight="false" outlineLevel="0" collapsed="false">
      <c r="A19" s="8" t="s">
        <v>92</v>
      </c>
      <c r="B19" s="8" t="s">
        <v>56</v>
      </c>
      <c r="C19" s="9" t="s">
        <v>93</v>
      </c>
      <c r="D19" s="10" t="s">
        <v>94</v>
      </c>
      <c r="E19" s="9" t="s">
        <v>95</v>
      </c>
      <c r="F19" s="11" t="n">
        <f aca="false">LEN(SUBSTITUTE(C19," ",""))</f>
        <v>28</v>
      </c>
      <c r="G19" s="12" t="n">
        <f aca="false">ROUND(F19/설정!$B$5+0.3,1)</f>
        <v>5.4</v>
      </c>
      <c r="H19" s="13"/>
      <c r="I19" s="12" t="n">
        <f aca="false">IF(H19="",G19,H19)</f>
        <v>5.4</v>
      </c>
      <c r="J19" s="12" t="n">
        <f aca="false">ROUND(K18+IF(B19=B18,설정!$B$6,설정!$B$7),1)</f>
        <v>92.9</v>
      </c>
      <c r="K19" s="12" t="n">
        <f aca="false">ROUND(J19+I19,1)</f>
        <v>98.3</v>
      </c>
    </row>
    <row r="20" customFormat="false" ht="15" hidden="false" customHeight="false" outlineLevel="0" collapsed="false">
      <c r="A20" s="8" t="s">
        <v>96</v>
      </c>
      <c r="B20" s="8" t="s">
        <v>56</v>
      </c>
      <c r="C20" s="9" t="s">
        <v>97</v>
      </c>
      <c r="D20" s="10" t="s">
        <v>98</v>
      </c>
      <c r="E20" s="9" t="s">
        <v>99</v>
      </c>
      <c r="F20" s="11" t="n">
        <f aca="false">LEN(SUBSTITUTE(C20," ",""))</f>
        <v>23</v>
      </c>
      <c r="G20" s="12" t="n">
        <f aca="false">ROUND(F20/설정!$B$5+0.3,1)</f>
        <v>4.5</v>
      </c>
      <c r="H20" s="13"/>
      <c r="I20" s="12" t="n">
        <f aca="false">IF(H20="",G20,H20)</f>
        <v>4.5</v>
      </c>
      <c r="J20" s="12" t="n">
        <f aca="false">ROUND(K19+IF(B20=B19,설정!$B$6,설정!$B$7),1)</f>
        <v>98.8</v>
      </c>
      <c r="K20" s="12" t="n">
        <f aca="false">ROUND(J20+I20,1)</f>
        <v>103.3</v>
      </c>
    </row>
    <row r="21" customFormat="false" ht="26.85" hidden="false" customHeight="false" outlineLevel="0" collapsed="false">
      <c r="A21" s="8" t="s">
        <v>100</v>
      </c>
      <c r="B21" s="8" t="s">
        <v>56</v>
      </c>
      <c r="C21" s="9" t="s">
        <v>101</v>
      </c>
      <c r="D21" s="10" t="s">
        <v>102</v>
      </c>
      <c r="E21" s="9" t="s">
        <v>103</v>
      </c>
      <c r="F21" s="11" t="n">
        <f aca="false">LEN(SUBSTITUTE(C21," ",""))</f>
        <v>44</v>
      </c>
      <c r="G21" s="12" t="n">
        <f aca="false">ROUND(F21/설정!$B$5+0.3,1)</f>
        <v>8.3</v>
      </c>
      <c r="H21" s="13"/>
      <c r="I21" s="12" t="n">
        <f aca="false">IF(H21="",G21,H21)</f>
        <v>8.3</v>
      </c>
      <c r="J21" s="12" t="n">
        <f aca="false">ROUND(K20+IF(B21=B20,설정!$B$6,설정!$B$7),1)</f>
        <v>103.8</v>
      </c>
      <c r="K21" s="12" t="n">
        <f aca="false">ROUND(J21+I21,1)</f>
        <v>112.1</v>
      </c>
    </row>
    <row r="22" customFormat="false" ht="15" hidden="false" customHeight="false" outlineLevel="0" collapsed="false">
      <c r="A22" s="8" t="s">
        <v>104</v>
      </c>
      <c r="B22" s="8" t="s">
        <v>105</v>
      </c>
      <c r="C22" s="9" t="s">
        <v>106</v>
      </c>
      <c r="D22" s="10" t="s">
        <v>107</v>
      </c>
      <c r="E22" s="9" t="s">
        <v>108</v>
      </c>
      <c r="F22" s="11" t="n">
        <f aca="false">LEN(SUBSTITUTE(C22," ",""))</f>
        <v>26</v>
      </c>
      <c r="G22" s="12" t="n">
        <f aca="false">ROUND(F22/설정!$B$5+0.3,1)</f>
        <v>5</v>
      </c>
      <c r="H22" s="13"/>
      <c r="I22" s="12" t="n">
        <f aca="false">IF(H22="",G22,H22)</f>
        <v>5</v>
      </c>
      <c r="J22" s="12" t="n">
        <f aca="false">ROUND(K21+IF(B22=B21,설정!$B$6,설정!$B$7),1)</f>
        <v>113.3</v>
      </c>
      <c r="K22" s="12" t="n">
        <f aca="false">ROUND(J22+I22,1)</f>
        <v>118.3</v>
      </c>
    </row>
    <row r="23" customFormat="false" ht="15" hidden="false" customHeight="false" outlineLevel="0" collapsed="false">
      <c r="A23" s="8" t="s">
        <v>109</v>
      </c>
      <c r="B23" s="8" t="s">
        <v>105</v>
      </c>
      <c r="C23" s="9" t="s">
        <v>110</v>
      </c>
      <c r="D23" s="10" t="s">
        <v>111</v>
      </c>
      <c r="E23" s="10" t="s">
        <v>112</v>
      </c>
      <c r="F23" s="11" t="n">
        <f aca="false">LEN(SUBSTITUTE(C23," ",""))</f>
        <v>22</v>
      </c>
      <c r="G23" s="12" t="n">
        <f aca="false">ROUND(F23/설정!$B$5+0.3,1)</f>
        <v>4.3</v>
      </c>
      <c r="H23" s="13"/>
      <c r="I23" s="12" t="n">
        <f aca="false">IF(H23="",G23,H23)</f>
        <v>4.3</v>
      </c>
      <c r="J23" s="12" t="n">
        <f aca="false">ROUND(K22+IF(B23=B22,설정!$B$6,설정!$B$7),1)</f>
        <v>118.8</v>
      </c>
      <c r="K23" s="12" t="n">
        <f aca="false">ROUND(J23+I23,1)</f>
        <v>123.1</v>
      </c>
    </row>
    <row r="24" customFormat="false" ht="15" hidden="false" customHeight="false" outlineLevel="0" collapsed="false">
      <c r="A24" s="8" t="s">
        <v>113</v>
      </c>
      <c r="B24" s="8" t="s">
        <v>105</v>
      </c>
      <c r="C24" s="9" t="s">
        <v>114</v>
      </c>
      <c r="D24" s="10" t="s">
        <v>115</v>
      </c>
      <c r="E24" s="9" t="s">
        <v>116</v>
      </c>
      <c r="F24" s="11" t="n">
        <f aca="false">LEN(SUBSTITUTE(C24," ",""))</f>
        <v>29</v>
      </c>
      <c r="G24" s="12" t="n">
        <f aca="false">ROUND(F24/설정!$B$5+0.3,1)</f>
        <v>5.6</v>
      </c>
      <c r="H24" s="13"/>
      <c r="I24" s="12" t="n">
        <f aca="false">IF(H24="",G24,H24)</f>
        <v>5.6</v>
      </c>
      <c r="J24" s="12" t="n">
        <f aca="false">ROUND(K23+IF(B24=B23,설정!$B$6,설정!$B$7),1)</f>
        <v>123.6</v>
      </c>
      <c r="K24" s="12" t="n">
        <f aca="false">ROUND(J24+I24,1)</f>
        <v>129.2</v>
      </c>
    </row>
    <row r="25" customFormat="false" ht="15" hidden="false" customHeight="false" outlineLevel="0" collapsed="false">
      <c r="A25" s="8" t="s">
        <v>117</v>
      </c>
      <c r="B25" s="8" t="s">
        <v>105</v>
      </c>
      <c r="C25" s="9" t="s">
        <v>118</v>
      </c>
      <c r="D25" s="10" t="s">
        <v>119</v>
      </c>
      <c r="E25" s="10" t="s">
        <v>120</v>
      </c>
      <c r="F25" s="11" t="n">
        <f aca="false">LEN(SUBSTITUTE(C25," ",""))</f>
        <v>21</v>
      </c>
      <c r="G25" s="12" t="n">
        <f aca="false">ROUND(F25/설정!$B$5+0.3,1)</f>
        <v>4.1</v>
      </c>
      <c r="H25" s="13"/>
      <c r="I25" s="12" t="n">
        <f aca="false">IF(H25="",G25,H25)</f>
        <v>4.1</v>
      </c>
      <c r="J25" s="12" t="n">
        <f aca="false">ROUND(K24+IF(B25=B24,설정!$B$6,설정!$B$7),1)</f>
        <v>129.7</v>
      </c>
      <c r="K25" s="12" t="n">
        <f aca="false">ROUND(J25+I25,1)</f>
        <v>133.8</v>
      </c>
    </row>
    <row r="26" customFormat="false" ht="15" hidden="false" customHeight="false" outlineLevel="0" collapsed="false">
      <c r="A26" s="8" t="s">
        <v>121</v>
      </c>
      <c r="B26" s="8" t="s">
        <v>105</v>
      </c>
      <c r="C26" s="9" t="s">
        <v>122</v>
      </c>
      <c r="D26" s="10" t="s">
        <v>123</v>
      </c>
      <c r="E26" s="10" t="s">
        <v>124</v>
      </c>
      <c r="F26" s="11" t="n">
        <f aca="false">LEN(SUBSTITUTE(C26," ",""))</f>
        <v>12</v>
      </c>
      <c r="G26" s="12" t="n">
        <f aca="false">ROUND(F26/설정!$B$5+0.3,1)</f>
        <v>2.5</v>
      </c>
      <c r="H26" s="13"/>
      <c r="I26" s="12" t="n">
        <f aca="false">IF(H26="",G26,H26)</f>
        <v>2.5</v>
      </c>
      <c r="J26" s="12" t="n">
        <f aca="false">ROUND(K25+IF(B26=B25,설정!$B$6,설정!$B$7),1)</f>
        <v>134.3</v>
      </c>
      <c r="K26" s="12" t="n">
        <f aca="false">ROUND(J26+I26,1)</f>
        <v>136.8</v>
      </c>
    </row>
    <row r="27" customFormat="false" ht="15" hidden="false" customHeight="false" outlineLevel="0" collapsed="false">
      <c r="A27" s="8" t="s">
        <v>125</v>
      </c>
      <c r="B27" s="8" t="s">
        <v>105</v>
      </c>
      <c r="C27" s="10" t="s">
        <v>126</v>
      </c>
      <c r="D27" s="10" t="s">
        <v>127</v>
      </c>
      <c r="E27" s="9" t="s">
        <v>128</v>
      </c>
      <c r="F27" s="11" t="n">
        <f aca="false">LEN(SUBSTITUTE(C27," ",""))</f>
        <v>15</v>
      </c>
      <c r="G27" s="12" t="n">
        <f aca="false">ROUND(F27/설정!$B$5+0.3,1)</f>
        <v>3</v>
      </c>
      <c r="H27" s="13"/>
      <c r="I27" s="12" t="n">
        <f aca="false">IF(H27="",G27,H27)</f>
        <v>3</v>
      </c>
      <c r="J27" s="12" t="n">
        <f aca="false">ROUND(K26+IF(B27=B26,설정!$B$6,설정!$B$7),1)</f>
        <v>137.3</v>
      </c>
      <c r="K27" s="12" t="n">
        <f aca="false">ROUND(J27+I27,1)</f>
        <v>140.3</v>
      </c>
    </row>
    <row r="28" customFormat="false" ht="15" hidden="false" customHeight="false" outlineLevel="0" collapsed="false">
      <c r="A28" s="8" t="s">
        <v>129</v>
      </c>
      <c r="B28" s="8" t="s">
        <v>105</v>
      </c>
      <c r="C28" s="9" t="s">
        <v>130</v>
      </c>
      <c r="D28" s="10" t="s">
        <v>131</v>
      </c>
      <c r="E28" s="9" t="s">
        <v>132</v>
      </c>
      <c r="F28" s="11" t="n">
        <f aca="false">LEN(SUBSTITUTE(C28," ",""))</f>
        <v>29</v>
      </c>
      <c r="G28" s="12" t="n">
        <f aca="false">ROUND(F28/설정!$B$5+0.3,1)</f>
        <v>5.6</v>
      </c>
      <c r="H28" s="13"/>
      <c r="I28" s="12" t="n">
        <f aca="false">IF(H28="",G28,H28)</f>
        <v>5.6</v>
      </c>
      <c r="J28" s="12" t="n">
        <f aca="false">ROUND(K27+IF(B28=B27,설정!$B$6,설정!$B$7),1)</f>
        <v>140.8</v>
      </c>
      <c r="K28" s="12" t="n">
        <f aca="false">ROUND(J28+I28,1)</f>
        <v>146.4</v>
      </c>
    </row>
    <row r="29" customFormat="false" ht="15" hidden="false" customHeight="false" outlineLevel="0" collapsed="false">
      <c r="A29" s="8" t="s">
        <v>133</v>
      </c>
      <c r="B29" s="8" t="s">
        <v>134</v>
      </c>
      <c r="C29" s="9" t="s">
        <v>135</v>
      </c>
      <c r="D29" s="10" t="s">
        <v>136</v>
      </c>
      <c r="E29" s="9" t="s">
        <v>137</v>
      </c>
      <c r="F29" s="11" t="n">
        <f aca="false">LEN(SUBSTITUTE(C29," ",""))</f>
        <v>19</v>
      </c>
      <c r="G29" s="12" t="n">
        <f aca="false">ROUND(F29/설정!$B$5+0.3,1)</f>
        <v>3.8</v>
      </c>
      <c r="H29" s="13"/>
      <c r="I29" s="12" t="n">
        <f aca="false">IF(H29="",G29,H29)</f>
        <v>3.8</v>
      </c>
      <c r="J29" s="12" t="n">
        <f aca="false">ROUND(K28+IF(B29=B28,설정!$B$6,설정!$B$7),1)</f>
        <v>147.6</v>
      </c>
      <c r="K29" s="12" t="n">
        <f aca="false">ROUND(J29+I29,1)</f>
        <v>151.4</v>
      </c>
    </row>
    <row r="30" customFormat="false" ht="15" hidden="false" customHeight="false" outlineLevel="0" collapsed="false">
      <c r="A30" s="8" t="s">
        <v>138</v>
      </c>
      <c r="B30" s="8" t="s">
        <v>134</v>
      </c>
      <c r="C30" s="9" t="s">
        <v>139</v>
      </c>
      <c r="D30" s="10" t="s">
        <v>140</v>
      </c>
      <c r="E30" s="9" t="s">
        <v>141</v>
      </c>
      <c r="F30" s="11" t="n">
        <f aca="false">LEN(SUBSTITUTE(C30," ",""))</f>
        <v>30</v>
      </c>
      <c r="G30" s="12" t="n">
        <f aca="false">ROUND(F30/설정!$B$5+0.3,1)</f>
        <v>5.8</v>
      </c>
      <c r="H30" s="13"/>
      <c r="I30" s="12" t="n">
        <f aca="false">IF(H30="",G30,H30)</f>
        <v>5.8</v>
      </c>
      <c r="J30" s="12" t="n">
        <f aca="false">ROUND(K29+IF(B30=B29,설정!$B$6,설정!$B$7),1)</f>
        <v>151.9</v>
      </c>
      <c r="K30" s="12" t="n">
        <f aca="false">ROUND(J30+I30,1)</f>
        <v>157.7</v>
      </c>
    </row>
    <row r="31" customFormat="false" ht="15" hidden="false" customHeight="false" outlineLevel="0" collapsed="false">
      <c r="A31" s="8" t="s">
        <v>142</v>
      </c>
      <c r="B31" s="8" t="s">
        <v>134</v>
      </c>
      <c r="C31" s="9" t="s">
        <v>143</v>
      </c>
      <c r="D31" s="10" t="s">
        <v>144</v>
      </c>
      <c r="E31" s="10" t="s">
        <v>145</v>
      </c>
      <c r="F31" s="11" t="n">
        <f aca="false">LEN(SUBSTITUTE(C31," ",""))</f>
        <v>24</v>
      </c>
      <c r="G31" s="12" t="n">
        <f aca="false">ROUND(F31/설정!$B$5+0.3,1)</f>
        <v>4.7</v>
      </c>
      <c r="H31" s="13"/>
      <c r="I31" s="12" t="n">
        <f aca="false">IF(H31="",G31,H31)</f>
        <v>4.7</v>
      </c>
      <c r="J31" s="12" t="n">
        <f aca="false">ROUND(K30+IF(B31=B30,설정!$B$6,설정!$B$7),1)</f>
        <v>158.2</v>
      </c>
      <c r="K31" s="12" t="n">
        <f aca="false">ROUND(J31+I31,1)</f>
        <v>162.9</v>
      </c>
    </row>
    <row r="32" customFormat="false" ht="15" hidden="false" customHeight="false" outlineLevel="0" collapsed="false">
      <c r="A32" s="8" t="s">
        <v>146</v>
      </c>
      <c r="B32" s="8" t="s">
        <v>134</v>
      </c>
      <c r="C32" s="9" t="s">
        <v>147</v>
      </c>
      <c r="D32" s="10" t="s">
        <v>148</v>
      </c>
      <c r="E32" s="10" t="s">
        <v>149</v>
      </c>
      <c r="F32" s="11" t="n">
        <f aca="false">LEN(SUBSTITUTE(C32," ",""))</f>
        <v>13</v>
      </c>
      <c r="G32" s="12" t="n">
        <f aca="false">ROUND(F32/설정!$B$5+0.3,1)</f>
        <v>2.7</v>
      </c>
      <c r="H32" s="13"/>
      <c r="I32" s="12" t="n">
        <f aca="false">IF(H32="",G32,H32)</f>
        <v>2.7</v>
      </c>
      <c r="J32" s="12" t="n">
        <f aca="false">ROUND(K31+IF(B32=B31,설정!$B$6,설정!$B$7),1)</f>
        <v>163.4</v>
      </c>
      <c r="K32" s="12" t="n">
        <f aca="false">ROUND(J32+I32,1)</f>
        <v>166.1</v>
      </c>
    </row>
    <row r="33" customFormat="false" ht="15" hidden="false" customHeight="false" outlineLevel="0" collapsed="false">
      <c r="A33" s="8" t="s">
        <v>150</v>
      </c>
      <c r="B33" s="8" t="s">
        <v>134</v>
      </c>
      <c r="C33" s="9" t="s">
        <v>151</v>
      </c>
      <c r="D33" s="10" t="s">
        <v>152</v>
      </c>
      <c r="E33" s="10" t="s">
        <v>153</v>
      </c>
      <c r="F33" s="11" t="n">
        <f aca="false">LEN(SUBSTITUTE(C33," ",""))</f>
        <v>28</v>
      </c>
      <c r="G33" s="12" t="n">
        <f aca="false">ROUND(F33/설정!$B$5+0.3,1)</f>
        <v>5.4</v>
      </c>
      <c r="H33" s="13"/>
      <c r="I33" s="12" t="n">
        <f aca="false">IF(H33="",G33,H33)</f>
        <v>5.4</v>
      </c>
      <c r="J33" s="12" t="n">
        <f aca="false">ROUND(K32+IF(B33=B32,설정!$B$6,설정!$B$7),1)</f>
        <v>166.6</v>
      </c>
      <c r="K33" s="12" t="n">
        <f aca="false">ROUND(J33+I33,1)</f>
        <v>172</v>
      </c>
    </row>
    <row r="34" customFormat="false" ht="15" hidden="false" customHeight="false" outlineLevel="0" collapsed="false">
      <c r="A34" s="8" t="s">
        <v>154</v>
      </c>
      <c r="B34" s="8" t="s">
        <v>134</v>
      </c>
      <c r="C34" s="9" t="s">
        <v>155</v>
      </c>
      <c r="D34" s="10" t="s">
        <v>156</v>
      </c>
      <c r="E34" s="9" t="s">
        <v>157</v>
      </c>
      <c r="F34" s="11" t="n">
        <f aca="false">LEN(SUBSTITUTE(C34," ",""))</f>
        <v>14</v>
      </c>
      <c r="G34" s="12" t="n">
        <f aca="false">ROUND(F34/설정!$B$5+0.3,1)</f>
        <v>2.8</v>
      </c>
      <c r="H34" s="13"/>
      <c r="I34" s="12" t="n">
        <f aca="false">IF(H34="",G34,H34)</f>
        <v>2.8</v>
      </c>
      <c r="J34" s="12" t="n">
        <f aca="false">ROUND(K33+IF(B34=B33,설정!$B$6,설정!$B$7),1)</f>
        <v>172.5</v>
      </c>
      <c r="K34" s="12" t="n">
        <f aca="false">ROUND(J34+I34,1)</f>
        <v>175.3</v>
      </c>
    </row>
    <row r="35" customFormat="false" ht="15" hidden="false" customHeight="false" outlineLevel="0" collapsed="false">
      <c r="A35" s="8" t="s">
        <v>158</v>
      </c>
      <c r="B35" s="8" t="s">
        <v>159</v>
      </c>
      <c r="C35" s="9" t="s">
        <v>160</v>
      </c>
      <c r="D35" s="10" t="s">
        <v>161</v>
      </c>
      <c r="E35" s="9" t="s">
        <v>162</v>
      </c>
      <c r="F35" s="11" t="n">
        <f aca="false">LEN(SUBSTITUTE(C35," ",""))</f>
        <v>19</v>
      </c>
      <c r="G35" s="12" t="n">
        <f aca="false">ROUND(F35/설정!$B$5+0.3,1)</f>
        <v>3.8</v>
      </c>
      <c r="H35" s="13"/>
      <c r="I35" s="12" t="n">
        <f aca="false">IF(H35="",G35,H35)</f>
        <v>3.8</v>
      </c>
      <c r="J35" s="12" t="n">
        <f aca="false">ROUND(K34+IF(B35=B34,설정!$B$6,설정!$B$7),1)</f>
        <v>176.5</v>
      </c>
      <c r="K35" s="12" t="n">
        <f aca="false">ROUND(J35+I35,1)</f>
        <v>180.3</v>
      </c>
    </row>
    <row r="36" customFormat="false" ht="15" hidden="false" customHeight="false" outlineLevel="0" collapsed="false">
      <c r="A36" s="8" t="s">
        <v>163</v>
      </c>
      <c r="B36" s="8" t="s">
        <v>159</v>
      </c>
      <c r="C36" s="9" t="s">
        <v>164</v>
      </c>
      <c r="D36" s="10" t="s">
        <v>165</v>
      </c>
      <c r="E36" s="10" t="s">
        <v>166</v>
      </c>
      <c r="F36" s="11" t="n">
        <f aca="false">LEN(SUBSTITUTE(C36," ",""))</f>
        <v>30</v>
      </c>
      <c r="G36" s="12" t="n">
        <f aca="false">ROUND(F36/설정!$B$5+0.3,1)</f>
        <v>5.8</v>
      </c>
      <c r="H36" s="13"/>
      <c r="I36" s="12" t="n">
        <f aca="false">IF(H36="",G36,H36)</f>
        <v>5.8</v>
      </c>
      <c r="J36" s="12" t="n">
        <f aca="false">ROUND(K35+IF(B36=B35,설정!$B$6,설정!$B$7),1)</f>
        <v>180.8</v>
      </c>
      <c r="K36" s="12" t="n">
        <f aca="false">ROUND(J36+I36,1)</f>
        <v>186.6</v>
      </c>
    </row>
    <row r="37" customFormat="false" ht="15" hidden="false" customHeight="false" outlineLevel="0" collapsed="false">
      <c r="A37" s="8" t="s">
        <v>167</v>
      </c>
      <c r="B37" s="8" t="s">
        <v>159</v>
      </c>
      <c r="C37" s="9" t="s">
        <v>168</v>
      </c>
      <c r="D37" s="10" t="s">
        <v>169</v>
      </c>
      <c r="E37" s="9" t="s">
        <v>91</v>
      </c>
      <c r="F37" s="11" t="n">
        <f aca="false">LEN(SUBSTITUTE(C37," ",""))</f>
        <v>20</v>
      </c>
      <c r="G37" s="12" t="n">
        <f aca="false">ROUND(F37/설정!$B$5+0.3,1)</f>
        <v>3.9</v>
      </c>
      <c r="H37" s="13"/>
      <c r="I37" s="12" t="n">
        <f aca="false">IF(H37="",G37,H37)</f>
        <v>3.9</v>
      </c>
      <c r="J37" s="12" t="n">
        <f aca="false">ROUND(K36+IF(B37=B36,설정!$B$6,설정!$B$7),1)</f>
        <v>187.1</v>
      </c>
      <c r="K37" s="12" t="n">
        <f aca="false">ROUND(J37+I37,1)</f>
        <v>191</v>
      </c>
    </row>
    <row r="38" customFormat="false" ht="15" hidden="false" customHeight="false" outlineLevel="0" collapsed="false">
      <c r="A38" s="8" t="s">
        <v>170</v>
      </c>
      <c r="B38" s="8" t="s">
        <v>159</v>
      </c>
      <c r="C38" s="9" t="s">
        <v>171</v>
      </c>
      <c r="D38" s="10" t="s">
        <v>172</v>
      </c>
      <c r="E38" s="10" t="s">
        <v>173</v>
      </c>
      <c r="F38" s="11" t="n">
        <f aca="false">LEN(SUBSTITUTE(C38," ",""))</f>
        <v>32</v>
      </c>
      <c r="G38" s="12" t="n">
        <f aca="false">ROUND(F38/설정!$B$5+0.3,1)</f>
        <v>6.1</v>
      </c>
      <c r="H38" s="13"/>
      <c r="I38" s="12" t="n">
        <f aca="false">IF(H38="",G38,H38)</f>
        <v>6.1</v>
      </c>
      <c r="J38" s="12" t="n">
        <f aca="false">ROUND(K37+IF(B38=B37,설정!$B$6,설정!$B$7),1)</f>
        <v>191.5</v>
      </c>
      <c r="K38" s="12" t="n">
        <f aca="false">ROUND(J38+I38,1)</f>
        <v>197.6</v>
      </c>
    </row>
    <row r="39" customFormat="false" ht="15" hidden="false" customHeight="false" outlineLevel="0" collapsed="false">
      <c r="A39" s="8" t="s">
        <v>174</v>
      </c>
      <c r="B39" s="8" t="s">
        <v>159</v>
      </c>
      <c r="C39" s="9" t="s">
        <v>175</v>
      </c>
      <c r="D39" s="10" t="s">
        <v>176</v>
      </c>
      <c r="E39" s="9" t="s">
        <v>177</v>
      </c>
      <c r="F39" s="11" t="n">
        <f aca="false">LEN(SUBSTITUTE(C39," ",""))</f>
        <v>23</v>
      </c>
      <c r="G39" s="12" t="n">
        <f aca="false">ROUND(F39/설정!$B$5+0.3,1)</f>
        <v>4.5</v>
      </c>
      <c r="H39" s="13"/>
      <c r="I39" s="12" t="n">
        <f aca="false">IF(H39="",G39,H39)</f>
        <v>4.5</v>
      </c>
      <c r="J39" s="12" t="n">
        <f aca="false">ROUND(K38+IF(B39=B38,설정!$B$6,설정!$B$7),1)</f>
        <v>198.1</v>
      </c>
      <c r="K39" s="12" t="n">
        <f aca="false">ROUND(J39+I39,1)</f>
        <v>202.6</v>
      </c>
    </row>
    <row r="40" customFormat="false" ht="15" hidden="false" customHeight="false" outlineLevel="0" collapsed="false">
      <c r="A40" s="8" t="s">
        <v>178</v>
      </c>
      <c r="B40" s="8" t="s">
        <v>159</v>
      </c>
      <c r="C40" s="9" t="s">
        <v>179</v>
      </c>
      <c r="D40" s="10" t="s">
        <v>180</v>
      </c>
      <c r="E40" s="9" t="s">
        <v>181</v>
      </c>
      <c r="F40" s="11" t="n">
        <f aca="false">LEN(SUBSTITUTE(C40," ",""))</f>
        <v>15</v>
      </c>
      <c r="G40" s="12" t="n">
        <f aca="false">ROUND(F40/설정!$B$5+0.3,1)</f>
        <v>3</v>
      </c>
      <c r="H40" s="13"/>
      <c r="I40" s="12" t="n">
        <f aca="false">IF(H40="",G40,H40)</f>
        <v>3</v>
      </c>
      <c r="J40" s="12" t="n">
        <f aca="false">ROUND(K39+IF(B40=B39,설정!$B$6,설정!$B$7),1)</f>
        <v>203.1</v>
      </c>
      <c r="K40" s="12" t="n">
        <f aca="false">ROUND(J40+I40,1)</f>
        <v>206.1</v>
      </c>
    </row>
    <row r="41" customFormat="false" ht="15" hidden="false" customHeight="false" outlineLevel="0" collapsed="false">
      <c r="A41" s="8" t="s">
        <v>182</v>
      </c>
      <c r="B41" s="8" t="s">
        <v>159</v>
      </c>
      <c r="C41" s="9" t="s">
        <v>183</v>
      </c>
      <c r="D41" s="10" t="s">
        <v>184</v>
      </c>
      <c r="E41" s="9" t="s">
        <v>185</v>
      </c>
      <c r="F41" s="11" t="n">
        <f aca="false">LEN(SUBSTITUTE(C41," ",""))</f>
        <v>19</v>
      </c>
      <c r="G41" s="12" t="n">
        <f aca="false">ROUND(F41/설정!$B$5+0.3,1)</f>
        <v>3.8</v>
      </c>
      <c r="H41" s="13"/>
      <c r="I41" s="12" t="n">
        <f aca="false">IF(H41="",G41,H41)</f>
        <v>3.8</v>
      </c>
      <c r="J41" s="12" t="n">
        <f aca="false">ROUND(K40+IF(B41=B40,설정!$B$6,설정!$B$7),1)</f>
        <v>206.6</v>
      </c>
      <c r="K41" s="12" t="n">
        <f aca="false">ROUND(J41+I41,1)</f>
        <v>210.4</v>
      </c>
    </row>
    <row r="42" customFormat="false" ht="26.85" hidden="false" customHeight="false" outlineLevel="0" collapsed="false">
      <c r="A42" s="8" t="s">
        <v>186</v>
      </c>
      <c r="B42" s="8" t="s">
        <v>159</v>
      </c>
      <c r="C42" s="9" t="s">
        <v>187</v>
      </c>
      <c r="D42" s="10" t="s">
        <v>188</v>
      </c>
      <c r="E42" s="10" t="s">
        <v>189</v>
      </c>
      <c r="F42" s="11" t="n">
        <f aca="false">LEN(SUBSTITUTE(C42," ",""))</f>
        <v>40</v>
      </c>
      <c r="G42" s="12" t="n">
        <f aca="false">ROUND(F42/설정!$B$5+0.3,1)</f>
        <v>7.6</v>
      </c>
      <c r="H42" s="13"/>
      <c r="I42" s="12" t="n">
        <f aca="false">IF(H42="",G42,H42)</f>
        <v>7.6</v>
      </c>
      <c r="J42" s="12" t="n">
        <f aca="false">ROUND(K41+IF(B42=B41,설정!$B$6,설정!$B$7),1)</f>
        <v>210.9</v>
      </c>
      <c r="K42" s="12" t="n">
        <f aca="false">ROUND(J42+I42,1)</f>
        <v>218.5</v>
      </c>
    </row>
    <row r="43" customFormat="false" ht="15" hidden="false" customHeight="false" outlineLevel="0" collapsed="false">
      <c r="A43" s="8" t="s">
        <v>190</v>
      </c>
      <c r="B43" s="8" t="s">
        <v>191</v>
      </c>
      <c r="C43" s="9" t="s">
        <v>192</v>
      </c>
      <c r="D43" s="10" t="s">
        <v>193</v>
      </c>
      <c r="E43" s="9" t="s">
        <v>194</v>
      </c>
      <c r="F43" s="11" t="n">
        <f aca="false">LEN(SUBSTITUTE(C43," ",""))</f>
        <v>17</v>
      </c>
      <c r="G43" s="12" t="n">
        <f aca="false">ROUND(F43/설정!$B$5+0.3,1)</f>
        <v>3.4</v>
      </c>
      <c r="H43" s="13"/>
      <c r="I43" s="12" t="n">
        <f aca="false">IF(H43="",G43,H43)</f>
        <v>3.4</v>
      </c>
      <c r="J43" s="12" t="n">
        <f aca="false">ROUND(K42+IF(B43=B42,설정!$B$6,설정!$B$7),1)</f>
        <v>219.7</v>
      </c>
      <c r="K43" s="12" t="n">
        <f aca="false">ROUND(J43+I43,1)</f>
        <v>223.1</v>
      </c>
    </row>
    <row r="44" customFormat="false" ht="15" hidden="false" customHeight="false" outlineLevel="0" collapsed="false">
      <c r="A44" s="8" t="s">
        <v>195</v>
      </c>
      <c r="B44" s="8" t="s">
        <v>191</v>
      </c>
      <c r="C44" s="9" t="s">
        <v>196</v>
      </c>
      <c r="D44" s="10" t="s">
        <v>197</v>
      </c>
      <c r="E44" s="9" t="s">
        <v>198</v>
      </c>
      <c r="F44" s="11" t="n">
        <f aca="false">LEN(SUBSTITUTE(C44," ",""))</f>
        <v>24</v>
      </c>
      <c r="G44" s="12" t="n">
        <f aca="false">ROUND(F44/설정!$B$5+0.3,1)</f>
        <v>4.7</v>
      </c>
      <c r="H44" s="13"/>
      <c r="I44" s="12" t="n">
        <f aca="false">IF(H44="",G44,H44)</f>
        <v>4.7</v>
      </c>
      <c r="J44" s="12" t="n">
        <f aca="false">ROUND(K43+IF(B44=B43,설정!$B$6,설정!$B$7),1)</f>
        <v>223.6</v>
      </c>
      <c r="K44" s="12" t="n">
        <f aca="false">ROUND(J44+I44,1)</f>
        <v>228.3</v>
      </c>
    </row>
    <row r="45" customFormat="false" ht="15" hidden="false" customHeight="false" outlineLevel="0" collapsed="false">
      <c r="A45" s="8" t="s">
        <v>199</v>
      </c>
      <c r="B45" s="8" t="s">
        <v>191</v>
      </c>
      <c r="C45" s="9" t="s">
        <v>200</v>
      </c>
      <c r="D45" s="10" t="s">
        <v>201</v>
      </c>
      <c r="E45" s="10" t="s">
        <v>202</v>
      </c>
      <c r="F45" s="11" t="n">
        <f aca="false">LEN(SUBSTITUTE(C45," ",""))</f>
        <v>21</v>
      </c>
      <c r="G45" s="12" t="n">
        <f aca="false">ROUND(F45/설정!$B$5+0.3,1)</f>
        <v>4.1</v>
      </c>
      <c r="H45" s="13"/>
      <c r="I45" s="12" t="n">
        <f aca="false">IF(H45="",G45,H45)</f>
        <v>4.1</v>
      </c>
      <c r="J45" s="12" t="n">
        <f aca="false">ROUND(K44+IF(B45=B44,설정!$B$6,설정!$B$7),1)</f>
        <v>228.8</v>
      </c>
      <c r="K45" s="12" t="n">
        <f aca="false">ROUND(J45+I45,1)</f>
        <v>232.9</v>
      </c>
    </row>
    <row r="46" customFormat="false" ht="15" hidden="false" customHeight="false" outlineLevel="0" collapsed="false">
      <c r="A46" s="8" t="s">
        <v>203</v>
      </c>
      <c r="B46" s="8" t="s">
        <v>191</v>
      </c>
      <c r="C46" s="9" t="s">
        <v>204</v>
      </c>
      <c r="D46" s="10" t="s">
        <v>205</v>
      </c>
      <c r="E46" s="9" t="s">
        <v>206</v>
      </c>
      <c r="F46" s="11" t="n">
        <f aca="false">LEN(SUBSTITUTE(C46," ",""))</f>
        <v>23</v>
      </c>
      <c r="G46" s="12" t="n">
        <f aca="false">ROUND(F46/설정!$B$5+0.3,1)</f>
        <v>4.5</v>
      </c>
      <c r="H46" s="13"/>
      <c r="I46" s="12" t="n">
        <f aca="false">IF(H46="",G46,H46)</f>
        <v>4.5</v>
      </c>
      <c r="J46" s="12" t="n">
        <f aca="false">ROUND(K45+IF(B46=B45,설정!$B$6,설정!$B$7),1)</f>
        <v>233.4</v>
      </c>
      <c r="K46" s="12" t="n">
        <f aca="false">ROUND(J46+I46,1)</f>
        <v>237.9</v>
      </c>
    </row>
    <row r="47" customFormat="false" ht="15" hidden="false" customHeight="false" outlineLevel="0" collapsed="false">
      <c r="A47" s="8" t="s">
        <v>207</v>
      </c>
      <c r="B47" s="8" t="s">
        <v>208</v>
      </c>
      <c r="C47" s="9" t="s">
        <v>209</v>
      </c>
      <c r="D47" s="10" t="s">
        <v>210</v>
      </c>
      <c r="E47" s="9" t="s">
        <v>211</v>
      </c>
      <c r="F47" s="11" t="n">
        <f aca="false">LEN(SUBSTITUTE(C47," ",""))</f>
        <v>18</v>
      </c>
      <c r="G47" s="12" t="n">
        <f aca="false">ROUND(F47/설정!$B$5+0.3,1)</f>
        <v>3.6</v>
      </c>
      <c r="H47" s="13"/>
      <c r="I47" s="12" t="n">
        <f aca="false">IF(H47="",G47,H47)</f>
        <v>3.6</v>
      </c>
      <c r="J47" s="12" t="n">
        <f aca="false">ROUND(K46+IF(B47=B46,설정!$B$6,설정!$B$7),1)</f>
        <v>239.1</v>
      </c>
      <c r="K47" s="12" t="n">
        <f aca="false">ROUND(J47+I47,1)</f>
        <v>242.7</v>
      </c>
    </row>
    <row r="48" customFormat="false" ht="15" hidden="false" customHeight="false" outlineLevel="0" collapsed="false">
      <c r="A48" s="8" t="s">
        <v>212</v>
      </c>
      <c r="B48" s="8" t="s">
        <v>208</v>
      </c>
      <c r="C48" s="9" t="s">
        <v>213</v>
      </c>
      <c r="D48" s="10" t="s">
        <v>214</v>
      </c>
      <c r="E48" s="10" t="s">
        <v>215</v>
      </c>
      <c r="F48" s="11" t="n">
        <f aca="false">LEN(SUBSTITUTE(C48," ",""))</f>
        <v>28</v>
      </c>
      <c r="G48" s="12" t="n">
        <f aca="false">ROUND(F48/설정!$B$5+0.3,1)</f>
        <v>5.4</v>
      </c>
      <c r="H48" s="13"/>
      <c r="I48" s="12" t="n">
        <f aca="false">IF(H48="",G48,H48)</f>
        <v>5.4</v>
      </c>
      <c r="J48" s="12" t="n">
        <f aca="false">ROUND(K47+IF(B48=B47,설정!$B$6,설정!$B$7),1)</f>
        <v>243.2</v>
      </c>
      <c r="K48" s="12" t="n">
        <f aca="false">ROUND(J48+I48,1)</f>
        <v>248.6</v>
      </c>
    </row>
    <row r="49" customFormat="false" ht="23.85" hidden="false" customHeight="false" outlineLevel="0" collapsed="false">
      <c r="A49" s="8" t="s">
        <v>216</v>
      </c>
      <c r="B49" s="8" t="s">
        <v>208</v>
      </c>
      <c r="C49" s="9" t="s">
        <v>217</v>
      </c>
      <c r="D49" s="10" t="s">
        <v>218</v>
      </c>
      <c r="E49" s="10" t="s">
        <v>219</v>
      </c>
      <c r="F49" s="11" t="n">
        <f aca="false">LEN(SUBSTITUTE(C49," ",""))</f>
        <v>31</v>
      </c>
      <c r="G49" s="12" t="n">
        <f aca="false">ROUND(F49/설정!$B$5+0.3,1)</f>
        <v>5.9</v>
      </c>
      <c r="H49" s="13"/>
      <c r="I49" s="12" t="n">
        <f aca="false">IF(H49="",G49,H49)</f>
        <v>5.9</v>
      </c>
      <c r="J49" s="12" t="n">
        <f aca="false">ROUND(K48+IF(B49=B48,설정!$B$6,설정!$B$7),1)</f>
        <v>249.1</v>
      </c>
      <c r="K49" s="12" t="n">
        <f aca="false">ROUND(J49+I49,1)</f>
        <v>255</v>
      </c>
    </row>
    <row r="50" customFormat="false" ht="15" hidden="false" customHeight="false" outlineLevel="0" collapsed="false">
      <c r="A50" s="8" t="s">
        <v>220</v>
      </c>
      <c r="B50" s="8" t="s">
        <v>208</v>
      </c>
      <c r="C50" s="9" t="s">
        <v>221</v>
      </c>
      <c r="D50" s="10" t="s">
        <v>222</v>
      </c>
      <c r="E50" s="9" t="s">
        <v>223</v>
      </c>
      <c r="F50" s="11" t="n">
        <f aca="false">LEN(SUBSTITUTE(C50," ",""))</f>
        <v>11</v>
      </c>
      <c r="G50" s="12" t="n">
        <f aca="false">ROUND(F50/설정!$B$5+0.3,1)</f>
        <v>2.3</v>
      </c>
      <c r="H50" s="13"/>
      <c r="I50" s="12" t="n">
        <f aca="false">IF(H50="",G50,H50)</f>
        <v>2.3</v>
      </c>
      <c r="J50" s="12" t="n">
        <f aca="false">ROUND(K49+IF(B50=B49,설정!$B$6,설정!$B$7),1)</f>
        <v>255.5</v>
      </c>
      <c r="K50" s="12" t="n">
        <f aca="false">ROUND(J50+I50,1)</f>
        <v>257.8</v>
      </c>
    </row>
    <row r="51" customFormat="false" ht="15" hidden="false" customHeight="false" outlineLevel="0" collapsed="false">
      <c r="A51" s="8" t="s">
        <v>224</v>
      </c>
      <c r="B51" s="8" t="s">
        <v>208</v>
      </c>
      <c r="C51" s="9" t="s">
        <v>225</v>
      </c>
      <c r="D51" s="10" t="s">
        <v>226</v>
      </c>
      <c r="E51" s="9" t="s">
        <v>227</v>
      </c>
      <c r="F51" s="11" t="n">
        <f aca="false">LEN(SUBSTITUTE(C51," ",""))</f>
        <v>26</v>
      </c>
      <c r="G51" s="12" t="n">
        <f aca="false">ROUND(F51/설정!$B$5+0.3,1)</f>
        <v>5</v>
      </c>
      <c r="H51" s="13"/>
      <c r="I51" s="12" t="n">
        <f aca="false">IF(H51="",G51,H51)</f>
        <v>5</v>
      </c>
      <c r="J51" s="12" t="n">
        <f aca="false">ROUND(K50+IF(B51=B50,설정!$B$6,설정!$B$7),1)</f>
        <v>258.3</v>
      </c>
      <c r="K51" s="12" t="n">
        <f aca="false">ROUND(J51+I51,1)</f>
        <v>263.3</v>
      </c>
    </row>
    <row r="52" customFormat="false" ht="15" hidden="false" customHeight="false" outlineLevel="0" collapsed="false">
      <c r="A52" s="8" t="s">
        <v>228</v>
      </c>
      <c r="B52" s="8" t="s">
        <v>208</v>
      </c>
      <c r="C52" s="9" t="s">
        <v>229</v>
      </c>
      <c r="D52" s="10" t="s">
        <v>230</v>
      </c>
      <c r="E52" s="9" t="s">
        <v>231</v>
      </c>
      <c r="F52" s="11" t="n">
        <f aca="false">LEN(SUBSTITUTE(C52," ",""))</f>
        <v>20</v>
      </c>
      <c r="G52" s="12" t="n">
        <f aca="false">ROUND(F52/설정!$B$5+0.3,1)</f>
        <v>3.9</v>
      </c>
      <c r="H52" s="13"/>
      <c r="I52" s="12" t="n">
        <f aca="false">IF(H52="",G52,H52)</f>
        <v>3.9</v>
      </c>
      <c r="J52" s="12" t="n">
        <f aca="false">ROUND(K51+IF(B52=B51,설정!$B$6,설정!$B$7),1)</f>
        <v>263.8</v>
      </c>
      <c r="K52" s="12" t="n">
        <f aca="false">ROUND(J52+I52,1)</f>
        <v>267.7</v>
      </c>
    </row>
    <row r="53" customFormat="false" ht="15" hidden="false" customHeight="false" outlineLevel="0" collapsed="false">
      <c r="A53" s="8" t="s">
        <v>232</v>
      </c>
      <c r="B53" s="8" t="s">
        <v>208</v>
      </c>
      <c r="C53" s="9" t="s">
        <v>233</v>
      </c>
      <c r="D53" s="10" t="s">
        <v>234</v>
      </c>
      <c r="E53" s="10" t="s">
        <v>235</v>
      </c>
      <c r="F53" s="11" t="n">
        <f aca="false">LEN(SUBSTITUTE(C53," ",""))</f>
        <v>22</v>
      </c>
      <c r="G53" s="12" t="n">
        <f aca="false">ROUND(F53/설정!$B$5+0.3,1)</f>
        <v>4.3</v>
      </c>
      <c r="H53" s="13"/>
      <c r="I53" s="12" t="n">
        <f aca="false">IF(H53="",G53,H53)</f>
        <v>4.3</v>
      </c>
      <c r="J53" s="12" t="n">
        <f aca="false">ROUND(K52+IF(B53=B52,설정!$B$6,설정!$B$7),1)</f>
        <v>268.2</v>
      </c>
      <c r="K53" s="12" t="n">
        <f aca="false">ROUND(J53+I53,1)</f>
        <v>272.5</v>
      </c>
    </row>
    <row r="54" customFormat="false" ht="15" hidden="false" customHeight="false" outlineLevel="0" collapsed="false">
      <c r="A54" s="8" t="s">
        <v>236</v>
      </c>
      <c r="B54" s="8" t="s">
        <v>208</v>
      </c>
      <c r="C54" s="9" t="s">
        <v>237</v>
      </c>
      <c r="D54" s="10" t="s">
        <v>238</v>
      </c>
      <c r="E54" s="9" t="s">
        <v>239</v>
      </c>
      <c r="F54" s="11" t="n">
        <f aca="false">LEN(SUBSTITUTE(C54," ",""))</f>
        <v>29</v>
      </c>
      <c r="G54" s="12" t="n">
        <f aca="false">ROUND(F54/설정!$B$5+0.3,1)</f>
        <v>5.6</v>
      </c>
      <c r="H54" s="13"/>
      <c r="I54" s="12" t="n">
        <f aca="false">IF(H54="",G54,H54)</f>
        <v>5.6</v>
      </c>
      <c r="J54" s="12" t="n">
        <f aca="false">ROUND(K53+IF(B54=B53,설정!$B$6,설정!$B$7),1)</f>
        <v>273</v>
      </c>
      <c r="K54" s="12" t="n">
        <f aca="false">ROUND(J54+I54,1)</f>
        <v>278.6</v>
      </c>
    </row>
    <row r="55" customFormat="false" ht="15" hidden="false" customHeight="false" outlineLevel="0" collapsed="false">
      <c r="A55" s="8" t="s">
        <v>240</v>
      </c>
      <c r="B55" s="8" t="s">
        <v>241</v>
      </c>
      <c r="C55" s="9" t="s">
        <v>242</v>
      </c>
      <c r="D55" s="10" t="s">
        <v>243</v>
      </c>
      <c r="E55" s="9" t="s">
        <v>244</v>
      </c>
      <c r="F55" s="11" t="n">
        <f aca="false">LEN(SUBSTITUTE(C55," ",""))</f>
        <v>30</v>
      </c>
      <c r="G55" s="12" t="n">
        <f aca="false">ROUND(F55/설정!$B$5+0.3,1)</f>
        <v>5.8</v>
      </c>
      <c r="H55" s="13"/>
      <c r="I55" s="12" t="n">
        <f aca="false">IF(H55="",G55,H55)</f>
        <v>5.8</v>
      </c>
      <c r="J55" s="12" t="n">
        <f aca="false">ROUND(K54+IF(B55=B54,설정!$B$6,설정!$B$7),1)</f>
        <v>279.8</v>
      </c>
      <c r="K55" s="12" t="n">
        <f aca="false">ROUND(J55+I55,1)</f>
        <v>285.6</v>
      </c>
    </row>
    <row r="56" customFormat="false" ht="15" hidden="false" customHeight="false" outlineLevel="0" collapsed="false">
      <c r="A56" s="8" t="s">
        <v>245</v>
      </c>
      <c r="B56" s="8" t="s">
        <v>241</v>
      </c>
      <c r="C56" s="9" t="s">
        <v>246</v>
      </c>
      <c r="D56" s="10" t="s">
        <v>247</v>
      </c>
      <c r="E56" s="9" t="s">
        <v>211</v>
      </c>
      <c r="F56" s="11" t="n">
        <f aca="false">LEN(SUBSTITUTE(C56," ",""))</f>
        <v>22</v>
      </c>
      <c r="G56" s="12" t="n">
        <f aca="false">ROUND(F56/설정!$B$5+0.3,1)</f>
        <v>4.3</v>
      </c>
      <c r="H56" s="13"/>
      <c r="I56" s="12" t="n">
        <f aca="false">IF(H56="",G56,H56)</f>
        <v>4.3</v>
      </c>
      <c r="J56" s="12" t="n">
        <f aca="false">ROUND(K55+IF(B56=B55,설정!$B$6,설정!$B$7),1)</f>
        <v>286.1</v>
      </c>
      <c r="K56" s="12" t="n">
        <f aca="false">ROUND(J56+I56,1)</f>
        <v>290.4</v>
      </c>
    </row>
    <row r="57" customFormat="false" ht="15" hidden="false" customHeight="false" outlineLevel="0" collapsed="false">
      <c r="A57" s="8" t="s">
        <v>248</v>
      </c>
      <c r="B57" s="8" t="s">
        <v>241</v>
      </c>
      <c r="C57" s="9" t="s">
        <v>249</v>
      </c>
      <c r="D57" s="10" t="s">
        <v>250</v>
      </c>
      <c r="E57" s="9" t="s">
        <v>251</v>
      </c>
      <c r="F57" s="11" t="n">
        <f aca="false">LEN(SUBSTITUTE(C57," ",""))</f>
        <v>28</v>
      </c>
      <c r="G57" s="12" t="n">
        <f aca="false">ROUND(F57/설정!$B$5+0.3,1)</f>
        <v>5.4</v>
      </c>
      <c r="H57" s="13"/>
      <c r="I57" s="12" t="n">
        <f aca="false">IF(H57="",G57,H57)</f>
        <v>5.4</v>
      </c>
      <c r="J57" s="12" t="n">
        <f aca="false">ROUND(K56+IF(B57=B56,설정!$B$6,설정!$B$7),1)</f>
        <v>290.9</v>
      </c>
      <c r="K57" s="12" t="n">
        <f aca="false">ROUND(J57+I57,1)</f>
        <v>296.3</v>
      </c>
    </row>
    <row r="58" customFormat="false" ht="15" hidden="false" customHeight="false" outlineLevel="0" collapsed="false">
      <c r="A58" s="8" t="s">
        <v>252</v>
      </c>
      <c r="B58" s="8" t="s">
        <v>241</v>
      </c>
      <c r="C58" s="9" t="s">
        <v>253</v>
      </c>
      <c r="D58" s="10" t="s">
        <v>254</v>
      </c>
      <c r="E58" s="9" t="s">
        <v>255</v>
      </c>
      <c r="F58" s="11" t="n">
        <f aca="false">LEN(SUBSTITUTE(C58," ",""))</f>
        <v>26</v>
      </c>
      <c r="G58" s="12" t="n">
        <f aca="false">ROUND(F58/설정!$B$5+0.3,1)</f>
        <v>5</v>
      </c>
      <c r="H58" s="13"/>
      <c r="I58" s="12" t="n">
        <f aca="false">IF(H58="",G58,H58)</f>
        <v>5</v>
      </c>
      <c r="J58" s="12" t="n">
        <f aca="false">ROUND(K57+IF(B58=B57,설정!$B$6,설정!$B$7),1)</f>
        <v>296.8</v>
      </c>
      <c r="K58" s="12" t="n">
        <f aca="false">ROUND(J58+I58,1)</f>
        <v>301.8</v>
      </c>
    </row>
    <row r="60" customFormat="false" ht="16.4" hidden="false" customHeight="false" outlineLevel="0" collapsed="false">
      <c r="E60" s="14" t="s">
        <v>256</v>
      </c>
      <c r="J60" s="15" t="str">
        <f aca="false">INT(K58/60)&amp;"분 "&amp;ROUND(MOD(K58,60),0)&amp;"초"</f>
        <v>5분 2초</v>
      </c>
      <c r="K60" s="16"/>
    </row>
    <row r="61" customFormat="false" ht="15" hidden="false" customHeight="false" outlineLevel="0" collapsed="false">
      <c r="E61" s="17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6"/>
  </cols>
  <sheetData>
    <row r="1" customFormat="false" ht="15" hidden="false" customHeight="false" outlineLevel="0" collapsed="false">
      <c r="A1" s="3" t="s">
        <v>258</v>
      </c>
    </row>
    <row r="2" customFormat="false" ht="15" hidden="false" customHeight="false" outlineLevel="0" collapsed="false">
      <c r="A2" s="18" t="s">
        <v>259</v>
      </c>
    </row>
    <row r="4" customFormat="false" ht="15" hidden="false" customHeight="false" outlineLevel="0" collapsed="false">
      <c r="A4" s="3" t="s">
        <v>260</v>
      </c>
      <c r="B4" s="3" t="s">
        <v>261</v>
      </c>
    </row>
    <row r="5" customFormat="false" ht="15" hidden="false" customHeight="false" outlineLevel="0" collapsed="false">
      <c r="A5" s="19" t="str">
        <f aca="false">대본!A2&amp;".mp3"</f>
        <v>n01.mp3</v>
      </c>
      <c r="B5" s="20" t="str">
        <f aca="false">대본!C2</f>
        <v>인천대교. 우리나라를 대표하는 다리죠.</v>
      </c>
    </row>
    <row r="6" customFormat="false" ht="15" hidden="false" customHeight="false" outlineLevel="0" collapsed="false">
      <c r="A6" s="19" t="str">
        <f aca="false">대본!A3&amp;".mp3"</f>
        <v>n02.mp3</v>
      </c>
      <c r="B6" s="20" t="str">
        <f aca="false">대본!C3</f>
        <v>이걸 엑셀로 만들 수 있습니다.</v>
      </c>
    </row>
    <row r="7" customFormat="false" ht="15" hidden="false" customHeight="false" outlineLevel="0" collapsed="false">
      <c r="A7" s="19" t="str">
        <f aca="false">대본!A4&amp;".mp3"</f>
        <v>n03.mp3</v>
      </c>
      <c r="B7" s="20" t="str">
        <f aca="false">대본!C4</f>
        <v>플레이트쓰리디 하나면 됩니다. 어렵지 않습니다.</v>
      </c>
    </row>
    <row r="8" customFormat="false" ht="15" hidden="false" customHeight="false" outlineLevel="0" collapsed="false">
      <c r="A8" s="19" t="str">
        <f aca="false">대본!A5&amp;".mp3"</f>
        <v>n04.mp3</v>
      </c>
      <c r="B8" s="20" t="str">
        <f aca="false">대본!C5</f>
        <v>지금부터 같이 만들어 보겠습니다.</v>
      </c>
    </row>
    <row r="9" customFormat="false" ht="15" hidden="false" customHeight="false" outlineLevel="0" collapsed="false">
      <c r="A9" s="19" t="str">
        <f aca="false">대본!A6&amp;".mp3"</f>
        <v>n05.mp3</v>
      </c>
      <c r="B9" s="20" t="str">
        <f aca="false">대본!C6</f>
        <v>먼저 macroBIM 사이트로 갑니다. 설치할 건 없습니다. 브라우저에서 바로 돌아갑니다.</v>
      </c>
    </row>
    <row r="10" customFormat="false" ht="15" hidden="false" customHeight="false" outlineLevel="0" collapsed="false">
      <c r="A10" s="19" t="str">
        <f aca="false">대본!A7&amp;".mp3"</f>
        <v>n06.mp3</v>
      </c>
      <c r="B10" s="20" t="str">
        <f aca="false">대본!C7</f>
        <v>왼쪽 메뉴에서 PLATE3D, 오른쪽 위 Example 을 누릅니다.</v>
      </c>
    </row>
    <row r="11" customFormat="false" ht="15" hidden="false" customHeight="false" outlineLevel="0" collapsed="false">
      <c r="A11" s="19" t="str">
        <f aca="false">대본!A8&amp;".mp3"</f>
        <v>n07.mp3</v>
      </c>
      <c r="B11" s="20" t="str">
        <f aca="false">대본!C8</f>
        <v>맨 위 Template 을 받으세요. 모든 키워드가 주석으로 들어 있는 빈 시트입니다.</v>
      </c>
    </row>
    <row r="12" customFormat="false" ht="15" hidden="false" customHeight="false" outlineLevel="0" collapsed="false">
      <c r="A12" s="19" t="str">
        <f aca="false">대본!A9&amp;".mp3"</f>
        <v>n08.mp3</v>
      </c>
      <c r="B12" s="20" t="str">
        <f aca="false">대본!C9</f>
        <v>이 파일은 아무것도 만들지 않습니다. 그게 이 파일의 쓸모입니다.</v>
      </c>
    </row>
    <row r="13" customFormat="false" ht="15" hidden="false" customHeight="false" outlineLevel="0" collapsed="false">
      <c r="A13" s="19" t="str">
        <f aca="false">대본!A10&amp;".mp3"</f>
        <v>n09.mp3</v>
      </c>
      <c r="B13" s="20" t="str">
        <f aca="false">대본!C10</f>
        <v>치기 전에, 이 도구가 뭘 할 줄 아는지부터 봅니다.</v>
      </c>
    </row>
    <row r="14" customFormat="false" ht="15" hidden="false" customHeight="false" outlineLevel="0" collapsed="false">
      <c r="A14" s="19" t="str">
        <f aca="false">대본!A11&amp;".mp3"</f>
        <v>n10.mp3</v>
      </c>
      <c r="B14" s="20" t="str">
        <f aca="false">대본!C11</f>
        <v>단면은 타이핑으로 만듭니다. 카탈로그가 없습니다. 치수를 직접 적습니다.</v>
      </c>
    </row>
    <row r="15" customFormat="false" ht="15" hidden="false" customHeight="false" outlineLevel="0" collapsed="false">
      <c r="A15" s="19" t="str">
        <f aca="false">대본!A12&amp;".mp3"</f>
        <v>n11.mp3</v>
      </c>
      <c r="B15" s="20" t="str">
        <f aca="false">대본!C12</f>
        <v>굵기가 변하는 부재도 됩니다. 단면 둘을 부르면 그 사이를 세워 줍니다.</v>
      </c>
    </row>
    <row r="16" customFormat="false" ht="15" hidden="false" customHeight="false" outlineLevel="0" collapsed="false">
      <c r="A16" s="19" t="str">
        <f aca="false">대본!A13&amp;".mp3"</f>
        <v>n12.mp3</v>
      </c>
      <c r="B16" s="20" t="str">
        <f aca="false">대본!C13</f>
        <v>부재는 두 점 사이에 세웁니다. 시작점과 끝점만 있으면 됩니다.</v>
      </c>
    </row>
    <row r="17" customFormat="false" ht="15" hidden="false" customHeight="false" outlineLevel="0" collapsed="false">
      <c r="A17" s="19" t="str">
        <f aca="false">대본!A14&amp;".mp3"</f>
        <v>n13.mp3</v>
      </c>
      <c r="B17" s="20" t="str">
        <f aca="false">대본!C14</f>
        <v>그리고 대칭으로 뒤집을 수 있습니다.</v>
      </c>
    </row>
    <row r="18" customFormat="false" ht="15" hidden="false" customHeight="false" outlineLevel="0" collapsed="false">
      <c r="A18" s="19" t="str">
        <f aca="false">대본!A15&amp;".mp3"</f>
        <v>n14.mp3</v>
      </c>
      <c r="B18" s="20" t="str">
        <f aca="false">대본!C15</f>
        <v>그러면 인천대교는 이렇게 나누면 되겠습니다.</v>
      </c>
    </row>
    <row r="19" customFormat="false" ht="15" hidden="false" customHeight="false" outlineLevel="0" collapsed="false">
      <c r="A19" s="19" t="str">
        <f aca="false">대본!A16&amp;".mp3"</f>
        <v>n15.mp3</v>
      </c>
      <c r="B19" s="20" t="str">
        <f aca="false">대본!C16</f>
        <v>상판, 주탑, 케이블, 교각. 넷입니다.</v>
      </c>
    </row>
    <row r="20" customFormat="false" ht="15" hidden="false" customHeight="false" outlineLevel="0" collapsed="false">
      <c r="A20" s="19" t="str">
        <f aca="false">대본!A17&amp;".mp3"</f>
        <v>n16.mp3</v>
      </c>
      <c r="B20" s="20" t="str">
        <f aca="false">대본!C17</f>
        <v>주탑 다리는 올라가면서 가늘어집니다. 변단면으로 만들면 되겠네요.</v>
      </c>
    </row>
    <row r="21" customFormat="false" ht="15" hidden="false" customHeight="false" outlineLevel="0" collapsed="false">
      <c r="A21" s="19" t="str">
        <f aca="false">대본!A18&amp;".mp3"</f>
        <v>n17.mp3</v>
      </c>
      <c r="B21" s="20" t="str">
        <f aca="false">대본!C18</f>
        <v>케이블은 직선입니다. 시작점과 끝점만 있으면 한 줄이면 됩니다.</v>
      </c>
    </row>
    <row r="22" customFormat="false" ht="15" hidden="false" customHeight="false" outlineLevel="0" collapsed="false">
      <c r="A22" s="19" t="str">
        <f aca="false">대본!A19&amp;".mp3"</f>
        <v>n18.mp3</v>
      </c>
      <c r="B22" s="20" t="str">
        <f aca="false">대본!C19</f>
        <v>그리고 다리는 좌우가 똑같습니다. 반쪽만 쓰고 뒤집으면 됩니다.</v>
      </c>
    </row>
    <row r="23" customFormat="false" ht="15" hidden="false" customHeight="false" outlineLevel="0" collapsed="false">
      <c r="A23" s="19" t="str">
        <f aca="false">대본!A20&amp;".mp3"</f>
        <v>n19.mp3</v>
      </c>
      <c r="B23" s="20" t="str">
        <f aca="false">대본!C20</f>
        <v>하나만 더 정하고 갑니다. 안 만들 것도 정해야 합니다.</v>
      </c>
    </row>
    <row r="24" customFormat="false" ht="15" hidden="false" customHeight="false" outlineLevel="0" collapsed="false">
      <c r="A24" s="19" t="str">
        <f aca="false">대본!A21&amp;".mp3"</f>
        <v>n20.mp3</v>
      </c>
      <c r="B24" s="20" t="str">
        <f aca="false">대본!C21</f>
        <v>이 모델은 겉면만 만듭니다. 안쪽 보강재는 넣지 않습니다. 그래서 앱이 보여주는 무게는 참고만 하세요.</v>
      </c>
    </row>
    <row r="25" customFormat="false" ht="15" hidden="false" customHeight="false" outlineLevel="0" collapsed="false">
      <c r="A25" s="19" t="str">
        <f aca="false">대본!A22&amp;".mp3"</f>
        <v>n21.mp3</v>
      </c>
      <c r="B25" s="20" t="str">
        <f aca="false">대본!C22</f>
        <v>상판부터 하겠습니다. 인천대교 상판은 속이 빈 박스입니다.</v>
      </c>
    </row>
    <row r="26" customFormat="false" ht="15" hidden="false" customHeight="false" outlineLevel="0" collapsed="false">
      <c r="A26" s="19" t="str">
        <f aca="false">대본!A23&amp;".mp3"</f>
        <v>n22.mp3</v>
      </c>
      <c r="B26" s="20" t="str">
        <f aca="false">대본!C23</f>
        <v>단면 한 줄을 씁니다. 타입은 R, 사각 강관입니다.</v>
      </c>
    </row>
    <row r="27" customFormat="false" ht="15" hidden="false" customHeight="false" outlineLevel="0" collapsed="false">
      <c r="A27" s="19" t="str">
        <f aca="false">대본!A24&amp;".mp3"</f>
        <v>n23.mp3</v>
      </c>
      <c r="B27" s="20" t="str">
        <f aca="false">대본!C24</f>
        <v>높이 천삼백칠십일, 폭 만칠천육백, 두께 삼십. 그게 전부입니다.</v>
      </c>
    </row>
    <row r="28" customFormat="false" ht="15" hidden="false" customHeight="false" outlineLevel="0" collapsed="false">
      <c r="A28" s="19" t="str">
        <f aca="false">대본!A25&amp;".mp3"</f>
        <v>n24.mp3</v>
      </c>
      <c r="B28" s="20" t="str">
        <f aca="false">대본!C25</f>
        <v>이제 어디에 놓을지 한 줄. 시작점과 끝점입니다.</v>
      </c>
    </row>
    <row r="29" customFormat="false" ht="15" hidden="false" customHeight="false" outlineLevel="0" collapsed="false">
      <c r="A29" s="19" t="str">
        <f aca="false">대본!A26&amp;".mp3"</f>
        <v>n25.mp3</v>
      </c>
      <c r="B29" s="20" t="str">
        <f aca="false">대본!C26</f>
        <v>그리고 세상에 올리는 한 줄.</v>
      </c>
    </row>
    <row r="30" customFormat="false" ht="15" hidden="false" customHeight="false" outlineLevel="0" collapsed="false">
      <c r="A30" s="19" t="str">
        <f aca="false">대본!A27&amp;".mp3"</f>
        <v>n26.mp3</v>
      </c>
      <c r="B30" s="20" t="str">
        <f aca="false">대본!C27</f>
        <v>Load Excel 을 누릅니다.</v>
      </c>
    </row>
    <row r="31" customFormat="false" ht="15" hidden="false" customHeight="false" outlineLevel="0" collapsed="false">
      <c r="A31" s="19" t="str">
        <f aca="false">대본!A28&amp;".mp3"</f>
        <v>n27.mp3</v>
      </c>
      <c r="B31" s="20" t="str">
        <f aca="false">대본!C28</f>
        <v>세 줄로 부재 하나가 섰습니다. 나머지는 전부 이걸 반복하는 겁니다.</v>
      </c>
    </row>
    <row r="32" customFormat="false" ht="15" hidden="false" customHeight="false" outlineLevel="0" collapsed="false">
      <c r="A32" s="19" t="str">
        <f aca="false">대본!A29&amp;".mp3"</f>
        <v>n28.mp3</v>
      </c>
      <c r="B32" s="20" t="str">
        <f aca="false">대본!C29</f>
        <v>주탑입니다. 해수면에서 이백삼십팔 미터.</v>
      </c>
    </row>
    <row r="33" customFormat="false" ht="15" hidden="false" customHeight="false" outlineLevel="0" collapsed="false">
      <c r="A33" s="19" t="str">
        <f aca="false">대본!A30&amp;".mp3"</f>
        <v>n29.mp3</v>
      </c>
      <c r="B33" s="20" t="str">
        <f aca="false">대본!C30</f>
        <v>그런데 다리가 올라가면서 가늘어집니다. 아래는 굵고 위는 얇습니다.</v>
      </c>
    </row>
    <row r="34" customFormat="false" ht="15" hidden="false" customHeight="false" outlineLevel="0" collapsed="false">
      <c r="A34" s="19" t="str">
        <f aca="false">대본!A31&amp;".mp3"</f>
        <v>n30.mp3</v>
      </c>
      <c r="B34" s="20" t="str">
        <f aca="false">대본!C31</f>
        <v>이럴 때 단면 둘을 씁니다. 시작 단면 하나, 끝 단면 하나.</v>
      </c>
    </row>
    <row r="35" customFormat="false" ht="15" hidden="false" customHeight="false" outlineLevel="0" collapsed="false">
      <c r="A35" s="19" t="str">
        <f aca="false">대본!A32&amp;".mp3"</f>
        <v>n31.mp3</v>
      </c>
      <c r="B35" s="20" t="str">
        <f aca="false">대본!C32</f>
        <v>그리고 그 둘을 이어 주는 한 줄.</v>
      </c>
    </row>
    <row r="36" customFormat="false" ht="15" hidden="false" customHeight="false" outlineLevel="0" collapsed="false">
      <c r="A36" s="19" t="str">
        <f aca="false">대본!A33&amp;".mp3"</f>
        <v>n32.mp3</v>
      </c>
      <c r="B36" s="20" t="str">
        <f aca="false">대본!C33</f>
        <v>이제 이건 새 부재입니다. 다른 부재처럼 이름으로 부르면 됩니다.</v>
      </c>
    </row>
    <row r="37" customFormat="false" ht="15" hidden="false" customHeight="false" outlineLevel="0" collapsed="false">
      <c r="A37" s="19" t="str">
        <f aca="false">대본!A34&amp;".mp3"</f>
        <v>n33.mp3</v>
      </c>
      <c r="B37" s="20" t="str">
        <f aca="false">대본!C34</f>
        <v>계단처럼 끊기지 않고 흐릅니다.</v>
      </c>
    </row>
    <row r="38" customFormat="false" ht="15" hidden="false" customHeight="false" outlineLevel="0" collapsed="false">
      <c r="A38" s="19" t="str">
        <f aca="false">대본!A35&amp;".mp3"</f>
        <v>n34.mp3</v>
      </c>
      <c r="B38" s="20" t="str">
        <f aca="false">대본!C35</f>
        <v>이제 케이블입니다. 이 다리의 주인공이죠.</v>
      </c>
    </row>
    <row r="39" customFormat="false" ht="15" hidden="false" customHeight="false" outlineLevel="0" collapsed="false">
      <c r="A39" s="19" t="str">
        <f aca="false">대본!A36&amp;".mp3"</f>
        <v>n35.mp3</v>
      </c>
      <c r="B39" s="20" t="str">
        <f aca="false">대본!C36</f>
        <v>케이블은 강선을 묶어 관에 넣은 겁니다. 그러니 단면은 파이프입니다.</v>
      </c>
    </row>
    <row r="40" customFormat="false" ht="15" hidden="false" customHeight="false" outlineLevel="0" collapsed="false">
      <c r="A40" s="19" t="str">
        <f aca="false">대본!A37&amp;".mp3"</f>
        <v>n36.mp3</v>
      </c>
      <c r="B40" s="20" t="str">
        <f aca="false">대본!C37</f>
        <v>그리고 케이블은 직선입니다. 휘지 않습니다.</v>
      </c>
    </row>
    <row r="41" customFormat="false" ht="15" hidden="false" customHeight="false" outlineLevel="0" collapsed="false">
      <c r="A41" s="19" t="str">
        <f aca="false">대본!A38&amp;".mp3"</f>
        <v>n37.mp3</v>
      </c>
      <c r="B41" s="20" t="str">
        <f aca="false">대본!C38</f>
        <v>그래서 한 줄이면 한 가닥입니다. 주탑의 정착점에서, 상판의 정착점까지.</v>
      </c>
    </row>
    <row r="42" customFormat="false" ht="15" hidden="false" customHeight="false" outlineLevel="0" collapsed="false">
      <c r="A42" s="19" t="str">
        <f aca="false">대본!A39&amp;".mp3"</f>
        <v>n38.mp3</v>
      </c>
      <c r="B42" s="20" t="str">
        <f aca="false">대본!C39</f>
        <v>한 줄 쓰고, 끌어서 복사하면 됩니다. 엑셀이니까요.</v>
      </c>
    </row>
    <row r="43" customFormat="false" ht="15" hidden="false" customHeight="false" outlineLevel="0" collapsed="false">
      <c r="A43" s="19" t="str">
        <f aca="false">대본!A40&amp;".mp3"</f>
        <v>n39.mp3</v>
      </c>
      <c r="B43" s="20" t="str">
        <f aca="false">대본!C40</f>
        <v>그렇게 부채 하나가 만들어집니다.</v>
      </c>
    </row>
    <row r="44" customFormat="false" ht="15" hidden="false" customHeight="false" outlineLevel="0" collapsed="false">
      <c r="A44" s="19" t="str">
        <f aca="false">대본!A41&amp;".mp3"</f>
        <v>n40.mp3</v>
      </c>
      <c r="B44" s="20" t="str">
        <f aca="false">대본!C41</f>
        <v>인천대교는 케이블이 이백여덟 가닥입니다.</v>
      </c>
    </row>
    <row r="45" customFormat="false" ht="15" hidden="false" customHeight="false" outlineLevel="0" collapsed="false">
      <c r="A45" s="19" t="str">
        <f aca="false">대본!A42&amp;".mp3"</f>
        <v>n41.mp3</v>
      </c>
      <c r="B45" s="20" t="str">
        <f aca="false">대본!C42</f>
        <v>그리고 이 파일은 이미 예제에 들어 있습니다. 직접 다 치실 필요 없습니다. 받아서 열어 보세요.</v>
      </c>
    </row>
    <row r="46" customFormat="false" ht="15" hidden="false" customHeight="false" outlineLevel="0" collapsed="false">
      <c r="A46" s="19" t="str">
        <f aca="false">대본!A43&amp;".mp3"</f>
        <v>n42.mp3</v>
      </c>
      <c r="B46" s="20" t="str">
        <f aca="false">대본!C43</f>
        <v>지금까지 만든 건 다리의 왼쪽 반입니다.</v>
      </c>
    </row>
    <row r="47" customFormat="false" ht="15" hidden="false" customHeight="false" outlineLevel="0" collapsed="false">
      <c r="A47" s="19" t="str">
        <f aca="false">대본!A44&amp;".mp3"</f>
        <v>n43.mp3</v>
      </c>
      <c r="B47" s="20" t="str">
        <f aca="false">대본!C44</f>
        <v>오른쪽은 똑같습니다. 그러니 다시 칠 필요가 없습니다.</v>
      </c>
    </row>
    <row r="48" customFormat="false" ht="15" hidden="false" customHeight="false" outlineLevel="0" collapsed="false">
      <c r="A48" s="19" t="str">
        <f aca="false">대본!A45&amp;".mp3"</f>
        <v>n44.mp3</v>
      </c>
      <c r="B48" s="20" t="str">
        <f aca="false">대본!C45</f>
        <v>한 줄이면 됩니다. 중앙을 기준으로 뒤집습니다.</v>
      </c>
    </row>
    <row r="49" customFormat="false" ht="15" hidden="false" customHeight="false" outlineLevel="0" collapsed="false">
      <c r="A49" s="19" t="str">
        <f aca="false">대본!A46&amp;".mp3"</f>
        <v>n45.mp3</v>
      </c>
      <c r="B49" s="20" t="str">
        <f aca="false">대본!C46</f>
        <v>그리고 이렇게 쓰면 좌우가 다르게 틀릴 수가 없습니다.</v>
      </c>
    </row>
    <row r="50" customFormat="false" ht="15" hidden="false" customHeight="false" outlineLevel="0" collapsed="false">
      <c r="A50" s="19" t="str">
        <f aca="false">대본!A47&amp;".mp3"</f>
        <v>n46.mp3</v>
      </c>
      <c r="B50" s="20" t="str">
        <f aca="false">대본!C47</f>
        <v>모델이 됐으면, 이제 받을 것을 받습니다.</v>
      </c>
    </row>
    <row r="51" customFormat="false" ht="15" hidden="false" customHeight="false" outlineLevel="0" collapsed="false">
      <c r="A51" s="19" t="str">
        <f aca="false">대본!A48&amp;".mp3"</f>
        <v>n47.mp3</v>
      </c>
      <c r="B51" s="20" t="str">
        <f aca="false">대본!C48</f>
        <v>어떤 그림이 필요한지 시트에 적습니다. 한 줄이 도면 한 장입니다.</v>
      </c>
    </row>
    <row r="52" customFormat="false" ht="15" hidden="false" customHeight="false" outlineLevel="0" collapsed="false">
      <c r="A52" s="19" t="str">
        <f aca="false">대본!A49&amp;".mp3"</f>
        <v>n48.mp3</v>
      </c>
      <c r="B52" s="20" t="str">
        <f aca="false">대본!C49</f>
        <v>일반도, 평면도, 주탑 입면, 주탑 단면. 축척도 그 줄에 같이 적습니다.</v>
      </c>
    </row>
    <row r="53" customFormat="false" ht="15" hidden="false" customHeight="false" outlineLevel="0" collapsed="false">
      <c r="A53" s="19" t="str">
        <f aca="false">대본!A50&amp;".mp3"</f>
        <v>n49.mp3</v>
      </c>
      <c r="B53" s="20" t="str">
        <f aca="false">대본!C50</f>
        <v>그리고 Save DXF.</v>
      </c>
    </row>
    <row r="54" customFormat="false" ht="15" hidden="false" customHeight="false" outlineLevel="0" collapsed="false">
      <c r="A54" s="19" t="str">
        <f aca="false">대본!A51&amp;".mp3"</f>
        <v>n50.mp3</v>
      </c>
      <c r="B54" s="20" t="str">
        <f aca="false">대본!C51</f>
        <v>도면 여덟 장이 한 파일로 나옵니다. 캐드에서 바로 열립니다.</v>
      </c>
    </row>
    <row r="55" customFormat="false" ht="15" hidden="false" customHeight="false" outlineLevel="0" collapsed="false">
      <c r="A55" s="19" t="str">
        <f aca="false">대본!A52&amp;".mp3"</f>
        <v>n51.mp3</v>
      </c>
      <c r="B55" s="20" t="str">
        <f aca="false">대본!C52</f>
        <v>물량표도 버튼 하나입니다. Save BOQ.</v>
      </c>
    </row>
    <row r="56" customFormat="false" ht="15" hidden="false" customHeight="false" outlineLevel="0" collapsed="false">
      <c r="A56" s="19" t="str">
        <f aca="false">대본!A53&amp;".mp3"</f>
        <v>n52.mp3</v>
      </c>
      <c r="B56" s="20" t="str">
        <f aca="false">대본!C53</f>
        <v>부재별로 규격과 수량과 길이가 정리돼서 나옵니다.</v>
      </c>
    </row>
    <row r="57" customFormat="false" ht="15" hidden="false" customHeight="false" outlineLevel="0" collapsed="false">
      <c r="A57" s="19" t="str">
        <f aca="false">대본!A54&amp;".mp3"</f>
        <v>n53.mp3</v>
      </c>
      <c r="B57" s="20" t="str">
        <f aca="false">대본!C54</f>
        <v>모델 하나로 그림과 수량이 같이 나옵니다. 따로 세지 않아도 됩니다.</v>
      </c>
    </row>
    <row r="58" customFormat="false" ht="15" hidden="false" customHeight="false" outlineLevel="0" collapsed="false">
      <c r="A58" s="19" t="str">
        <f aca="false">대본!A55&amp;".mp3"</f>
        <v>n54.mp3</v>
      </c>
      <c r="B58" s="20" t="str">
        <f aca="false">대본!C55</f>
        <v>정리하면, 단면을 쓰고, 어디에 놓을지 쓰고, 대칭으로 뒤집습니다.</v>
      </c>
    </row>
    <row r="59" customFormat="false" ht="15" hidden="false" customHeight="false" outlineLevel="0" collapsed="false">
      <c r="A59" s="19" t="str">
        <f aca="false">대본!A56&amp;".mp3"</f>
        <v>n55.mp3</v>
      </c>
      <c r="B59" s="20" t="str">
        <f aca="false">대본!C56</f>
        <v>그게 전부입니다. 나머지는 이걸 반복하는 겁니다.</v>
      </c>
    </row>
    <row r="60" customFormat="false" ht="15" hidden="false" customHeight="false" outlineLevel="0" collapsed="false">
      <c r="A60" s="19" t="str">
        <f aca="false">대본!A57&amp;".mp3"</f>
        <v>n56.mp3</v>
      </c>
      <c r="B60" s="20" t="str">
        <f aca="false">대본!C57</f>
        <v>인천대교 파일은 예제에 있습니다. 받아서 숫자 하나 바꿔 보세요.</v>
      </c>
    </row>
    <row r="61" customFormat="false" ht="15" hidden="false" customHeight="false" outlineLevel="0" collapsed="false">
      <c r="A61" s="19" t="str">
        <f aca="false">대본!A58&amp;".mp3"</f>
        <v>n57.mp3</v>
      </c>
      <c r="B61" s="20" t="str">
        <f aca="false">대본!C58</f>
        <v>브라우저에서 바로 돌아갑니다. macroBIM 입니다.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2026-09-18T00:34:48Z</dcterms:created>
  <dc:creator>openpyxl</dc:creator>
  <dc:description/>
  <dc:language>en-US</dc:language>
  <cp:lastModifiedBy/>
  <dcterms:modified xsi:type="dcterms:W3CDTF">2026-09-18T00:45:25Z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