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T" state="visible" r:id="rId4"/>
    <sheet sheetId="2" name="PARAM" state="visible" r:id="rId5"/>
    <sheet sheetId="3" name="input" state="visible" r:id="rId6"/>
  </sheets>
  <calcPr calcId="171027"/>
</workbook>
</file>

<file path=xl/sharedStrings.xml><?xml version="1.0" encoding="utf-8"?>
<sst xmlns="http://schemas.openxmlformats.org/spreadsheetml/2006/main" count="540" uniqueCount="212">
  <si>
    <t>Section</t>
  </si>
  <si>
    <t>H</t>
  </si>
  <si>
    <t>B</t>
  </si>
  <si>
    <t>t1</t>
  </si>
  <si>
    <t>t2</t>
  </si>
  <si>
    <t>r</t>
  </si>
  <si>
    <t>kg/m</t>
  </si>
  <si>
    <t>H-100x100x6x8 r10</t>
  </si>
  <si>
    <t>H-125x125x6.5x9 r10</t>
  </si>
  <si>
    <t>H-150x75x5x7 r8</t>
  </si>
  <si>
    <t>H-148x100x6x9 r11</t>
  </si>
  <si>
    <t>H-150x150x7x10 r11</t>
  </si>
  <si>
    <t>H-198x99x4.5x7 r11</t>
  </si>
  <si>
    <t>H-200x100x5.5x8 r11</t>
  </si>
  <si>
    <t>H-194x150x6x9 r13</t>
  </si>
  <si>
    <t>H-200x200x8x12 r13</t>
  </si>
  <si>
    <t>H-200x204x12x12 r13</t>
  </si>
  <si>
    <t>H-248x124x5x8 r12</t>
  </si>
  <si>
    <t>H-250x125x6x9 r12</t>
  </si>
  <si>
    <t>H-244x175x7x11 r16</t>
  </si>
  <si>
    <t>H-250x250x9x14 r16</t>
  </si>
  <si>
    <t>H-250x255x14x14 r16</t>
  </si>
  <si>
    <t>H-298x149x5.5x8 r13</t>
  </si>
  <si>
    <t>H-300x150x6.5x9 r13</t>
  </si>
  <si>
    <t>H-294x200x8x12 r18</t>
  </si>
  <si>
    <t>H-294x302x12x12 r18</t>
  </si>
  <si>
    <t>H-300x300x10x15 r18</t>
  </si>
  <si>
    <t>H-300x305x15x15 r18</t>
  </si>
  <si>
    <t>H-346x174x6x9 r14</t>
  </si>
  <si>
    <t>H-350x175x7x11 r14</t>
  </si>
  <si>
    <t>H-340x250x9x14 r20</t>
  </si>
  <si>
    <t>H-344x348x10x16 r20</t>
  </si>
  <si>
    <t>H-350x350x12x19 r20</t>
  </si>
  <si>
    <t>H-396x199x7x11 r16</t>
  </si>
  <si>
    <t>H-400x200x8x13 r16</t>
  </si>
  <si>
    <t>H-390x300x10x16 r22</t>
  </si>
  <si>
    <t>H-388x402x15x15 r22</t>
  </si>
  <si>
    <t>H-394x398x11x18 r22</t>
  </si>
  <si>
    <t>H-400x400x13x21 r22</t>
  </si>
  <si>
    <t>H-400x408x21x21 r22</t>
  </si>
  <si>
    <t>H-414x405x18x28 r22</t>
  </si>
  <si>
    <t>H-428x407x20x35 r22</t>
  </si>
  <si>
    <t>H-458x417x30x50 r22</t>
  </si>
  <si>
    <t>H-498x432x45x70 r22</t>
  </si>
  <si>
    <t>H-446x199x8x12 r18</t>
  </si>
  <si>
    <t>H-450x200x9x14 r18</t>
  </si>
  <si>
    <t>H-440x300x11x18 r24</t>
  </si>
  <si>
    <t>H-440x300x11x18 r13</t>
  </si>
  <si>
    <t>H-496x199x9x14 r13</t>
  </si>
  <si>
    <t>H-500x200x10x16 r13</t>
  </si>
  <si>
    <t>H-482x300x11x15 r13</t>
  </si>
  <si>
    <t>H-488x300x11x18 r13</t>
  </si>
  <si>
    <t>H-596x199x10x15 r13</t>
  </si>
  <si>
    <t>H-600x200x11x17 r13</t>
  </si>
  <si>
    <t>H-582x300x12x17 r13</t>
  </si>
  <si>
    <t>H-588x300x12x20 r13</t>
  </si>
  <si>
    <t>H-594x302x14x23 r13</t>
  </si>
  <si>
    <t>H-692x300x13x20 r18</t>
  </si>
  <si>
    <t>H-700x300x13x24 r18</t>
  </si>
  <si>
    <t>H-792x300x14x22 r18</t>
  </si>
  <si>
    <t>H-800x300x14x26 r18</t>
  </si>
  <si>
    <t>H-890x299x15x23 r18</t>
  </si>
  <si>
    <t>H-900x300x16x28 r18</t>
  </si>
  <si>
    <t>H-912x302x18x34 r18</t>
  </si>
  <si>
    <t>H-918x303x19x37 r18</t>
  </si>
  <si>
    <t>BOLTED SPLICE</t>
  </si>
  <si>
    <t>Fill in the blue cells. Everything else follows — the input tab is written from this one, and nothing on it needs touching.</t>
  </si>
  <si>
    <t xml:space="preserve">  1.  MEMBER AND JOINT</t>
  </si>
  <si>
    <t>pick a section and the sizes fill themselves in</t>
  </si>
  <si>
    <t/>
  </si>
  <si>
    <t>t1 web</t>
  </si>
  <si>
    <t>t2 flange</t>
  </si>
  <si>
    <t>Length</t>
  </si>
  <si>
    <t>Member</t>
  </si>
  <si>
    <t>Joint gap</t>
  </si>
  <si>
    <t>One section, spliced to itself — both sides of the joint are the same member, so there is one row to fill in and Length is the reach of each side. Each side is drawn as three plates — top flange, bottom flange, web — because a rolled section cannot be drilled: a CUT on a SECT cuts its whole length. Root fillets are modelled as eight fillet strips.</t>
  </si>
  <si>
    <t>checked for you</t>
  </si>
  <si>
    <t>clear web depth</t>
  </si>
  <si>
    <t>member centre at ±</t>
  </si>
  <si>
    <t xml:space="preserve">  2.  SPLICE PLATES</t>
  </si>
  <si>
    <t>width across, length along the beam</t>
  </si>
  <si>
    <t>Width</t>
  </si>
  <si>
    <t>Thick</t>
  </si>
  <si>
    <t>Qty</t>
  </si>
  <si>
    <t>Material</t>
  </si>
  <si>
    <t>Top plate</t>
  </si>
  <si>
    <t>SM355</t>
  </si>
  <si>
    <t>Top inner plate</t>
  </si>
  <si>
    <t>Web plate</t>
  </si>
  <si>
    <t>Bottom inner plate</t>
  </si>
  <si>
    <t>Bottom plate</t>
  </si>
  <si>
    <t>plate steel, kg</t>
  </si>
  <si>
    <t xml:space="preserve">  3.  BOLTS</t>
  </si>
  <si>
    <t>the shank and the hole are different sizes</t>
  </si>
  <si>
    <t>Bolt dia</t>
  </si>
  <si>
    <t>Hole dia</t>
  </si>
  <si>
    <t>Grade</t>
  </si>
  <si>
    <t>Flange bolt L</t>
  </si>
  <si>
    <t>Web bolt L</t>
  </si>
  <si>
    <t>Bolt</t>
  </si>
  <si>
    <t>F10T</t>
  </si>
  <si>
    <t>bolt group</t>
  </si>
  <si>
    <t>Long N</t>
  </si>
  <si>
    <t>In</t>
  </si>
  <si>
    <t>Out</t>
  </si>
  <si>
    <t>Trans N</t>
  </si>
  <si>
    <t>Top flange</t>
  </si>
  <si>
    <t>Web</t>
  </si>
  <si>
    <t>Bottom flange</t>
  </si>
  <si>
    <t>Long = along the beam, Trans = across the flange or through the web depth. In is the gap left in the middle, Out the edge distance. The web opens with Trans In = 0: its bolts run right through the depth with no gap at the neutral axis.</t>
  </si>
  <si>
    <t>flange pitch</t>
  </si>
  <si>
    <t>web pitch</t>
  </si>
  <si>
    <t>bolts</t>
  </si>
  <si>
    <t xml:space="preserve">  4.  WHAT THE NUMBERS MEAN</t>
  </si>
  <si>
    <t>the same drawings, to the sizes above</t>
  </si>
  <si>
    <t>The joint in plan — one section either side, and the gap between</t>
  </si>
  <si>
    <t>The section at the joint — which plate goes where</t>
  </si>
  <si>
    <t>Top flange and Bottom flange bolt groups</t>
  </si>
  <si>
    <t>Web bolt group — Trans In is 0, so the depth is one run</t>
  </si>
  <si>
    <t>Written from PARAM. Nothing here needs editing — change the front sheet instead.</t>
  </si>
  <si>
    <t>COORD</t>
  </si>
  <si>
    <t>ZUP</t>
  </si>
  <si>
    <t>the bolt hole - PARAM row 24, the hole column, not the shank</t>
  </si>
  <si>
    <t>HOLE</t>
  </si>
  <si>
    <t>ho.b</t>
  </si>
  <si>
    <t>CIRC</t>
  </si>
  <si>
    <t>mc</t>
  </si>
  <si>
    <t>the root fillet: a disc of 2r taken out of an r x r square leaves the concave corner</t>
  </si>
  <si>
    <t>ho.fil</t>
  </si>
  <si>
    <t>PLATE  id  material  thickness  RECT  base.pt  B(along beam)  H(across)</t>
  </si>
  <si>
    <t>beam top flange, one member</t>
  </si>
  <si>
    <t>PLATE</t>
  </si>
  <si>
    <t>pl.tf</t>
  </si>
  <si>
    <t>RECT</t>
  </si>
  <si>
    <t>beam bottom flange</t>
  </si>
  <si>
    <t>pl.bf</t>
  </si>
  <si>
    <t>beam web</t>
  </si>
  <si>
    <t>pl.wb</t>
  </si>
  <si>
    <t>root fillet, x8 - four each member</t>
  </si>
  <si>
    <t>pl.fil</t>
  </si>
  <si>
    <t>outer top plate</t>
  </si>
  <si>
    <t>pl.tp</t>
  </si>
  <si>
    <t>inner top plate, x2</t>
  </si>
  <si>
    <t>pl.ti</t>
  </si>
  <si>
    <t>web plate, x2</t>
  </si>
  <si>
    <t>pl.wp</t>
  </si>
  <si>
    <t>inner bottom plate, x2</t>
  </si>
  <si>
    <t>pl.bi</t>
  </si>
  <si>
    <t>outer bottom plate</t>
  </si>
  <si>
    <t>pl.bp</t>
  </si>
  <si>
    <t>BAR  id  material  diameter  length     the shank, not the hole</t>
  </si>
  <si>
    <t>flange bolt - length from PARAM, which you can overwrite</t>
  </si>
  <si>
    <t>BAR</t>
  </si>
  <si>
    <t>bo.f</t>
  </si>
  <si>
    <t>SS275</t>
  </si>
  <si>
    <t>web bolt</t>
  </si>
  <si>
    <t>bo.w</t>
  </si>
  <si>
    <t>CUT  plate  L.X  L.Y  shape  dx dy repeat  dx2 dy2 repeat2      one row per quadrant the plate reaches</t>
  </si>
  <si>
    <t>outer top plate - four quadrants</t>
  </si>
  <si>
    <t>CUT</t>
  </si>
  <si>
    <t>outer bottom plate - four quadrants</t>
  </si>
  <si>
    <t>inner top plate - centred on its own two bolt lines, so one part serves both sides</t>
  </si>
  <si>
    <t>inner bottom plate - centred on its own two bolt lines, so one part serves both sides</t>
  </si>
  <si>
    <t>beam top flange - measured from the plate centre, the joint end is +</t>
  </si>
  <si>
    <t>beam bottom flange - measured from the plate centre, the joint end is +</t>
  </si>
  <si>
    <t>web plate - the depth is one run, no gap at the neutral axis, so two rows not four</t>
  </si>
  <si>
    <t>the disc sits on the far corner of the square, leaving the fillet</t>
  </si>
  <si>
    <t>beam web - one member</t>
  </si>
  <si>
    <t>MODULE  id  member  ref.pt  L.X  L.Y  L.Z  PLANE  [ROT.X ROT.Y ROT.Z]</t>
  </si>
  <si>
    <t>Every coordinate below is the real one, measured from the joint centre. A module is placed by its BASE point, so each ASSY row further down repeats that point - which lands the module exactly where these rows say.</t>
  </si>
  <si>
    <t>left member</t>
  </si>
  <si>
    <t>MODULE</t>
  </si>
  <si>
    <t>md.beaml</t>
  </si>
  <si>
    <t>XY</t>
  </si>
  <si>
    <t>XZ</t>
  </si>
  <si>
    <t>YZ</t>
  </si>
  <si>
    <t>BASE</t>
  </si>
  <si>
    <t>right member - the same parts, turned end for end</t>
  </si>
  <si>
    <t>md.beamr</t>
  </si>
  <si>
    <t>top flange, outer plate</t>
  </si>
  <si>
    <t>md.tpo</t>
  </si>
  <si>
    <t>top flange, the two inner plates</t>
  </si>
  <si>
    <t>md.tpi</t>
  </si>
  <si>
    <t>pl.ti_1</t>
  </si>
  <si>
    <t>bottom flange, outer plate</t>
  </si>
  <si>
    <t>md.bpo</t>
  </si>
  <si>
    <t>bottom flange, the two inner plates</t>
  </si>
  <si>
    <t>md.bpi</t>
  </si>
  <si>
    <t>pl.bi_1</t>
  </si>
  <si>
    <t>web, one plate on each face</t>
  </si>
  <si>
    <t>md.wpl</t>
  </si>
  <si>
    <t>pl.wp_1</t>
  </si>
  <si>
    <t>The bolts, one row each. These are placed at the layout PARAM opens with; change a bolt count and the holes follow but these rows do not.</t>
  </si>
  <si>
    <t>flange bolts - one row a quadrant, the counts from PARAM</t>
  </si>
  <si>
    <t>md.blt</t>
  </si>
  <si>
    <t>web bolts - the depth is one run, so two rows not four</t>
  </si>
  <si>
    <t>bo.f_1</t>
  </si>
  <si>
    <t>ASSY places a module by its BASE point, so each row repeats where that point already is — which leaves every module exactly where its own rows put it.</t>
  </si>
  <si>
    <t>ASSY</t>
  </si>
  <si>
    <t>as.splice</t>
  </si>
  <si>
    <t>ADD</t>
  </si>
  <si>
    <t>VIEW  module  from  title      the drawings Save DXF makes, named by this sheet</t>
  </si>
  <si>
    <t>VIEW</t>
  </si>
  <si>
    <t>TOP</t>
  </si>
  <si>
    <t>TOP FLANGE - FROM ABOVE</t>
  </si>
  <si>
    <t>BOTTOM</t>
  </si>
  <si>
    <t>TOP FLANGE - FROM BELOW</t>
  </si>
  <si>
    <t>BOTTOM FLANGE - FROM BELOW</t>
  </si>
  <si>
    <t>BOTTOM FLANGE - FROM ABOVE</t>
  </si>
  <si>
    <t>FRONT</t>
  </si>
  <si>
    <t>WEB - SIDE</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</si>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</sst>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0"/>
      <name val="Arial"/>
    </font>
    <font>
      <sz val="10"/>
      <name val="Arial"/>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color rgb="FF0F172A"/>
      <sz val="10"/>
      <name val="Arial"/>
    </font>
  </fonts>
  <fills count="5">
    <fill>
      <patternFill patternType="none"/>
    </fill>
    <fill>
      <patternFill patternType="gray125"/>
    </fill>
    <fill>
      <patternFill patternType="solid">
        <fgColor rgb="FF0F172A"/>
      </patternFill>
    </fill>
    <fill>
      <patternFill patternType="solid">
        <fgColor rgb="FFF1F5F9"/>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0" fontId="9" fillId="4" borderId="1" xfId="0" applyFont="1" applyFill="1" applyBorder="1" applyAlignment="1">
      <alignment horizontal="center" vertical="center"/>
    </xf>
    <xf numFmtId="0" fontId="4" fillId="0" borderId="1" xfId="0" applyFon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right" vertical="center"/>
    </xf>
    <xf numFmtId="0" fontId="4" fillId="0" borderId="0" xfId="0" applyFont="1" applyAlignment="1">
      <alignment horizontal="center" vertical="center"/>
    </xf>
    <xf numFmtId="0" fontId="9" fillId="0" borderId="0" xfId="0" applyFont="1" applyAlignment="1">
      <alignment horizontal="left" vertical="center"/>
    </xf>
    <xf numFmtId="0" fontId="1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41999</xdr:colOff>
      <xdr:row>36</xdr:row>
      <xdr:rowOff>0</xdr:rowOff>
    </xdr:from>
    <xdr:ext cx="7905750" cy="3952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41999</xdr:colOff>
      <xdr:row>61</xdr:row>
      <xdr:rowOff>0</xdr:rowOff>
    </xdr:from>
    <xdr:ext cx="6667500" cy="5090388"/>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41999</xdr:colOff>
      <xdr:row>92</xdr:row>
      <xdr:rowOff>0</xdr:rowOff>
    </xdr:from>
    <xdr:ext cx="8572500" cy="6540972"/>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41999</xdr:colOff>
      <xdr:row>131</xdr:row>
      <xdr:rowOff>0</xdr:rowOff>
    </xdr:from>
    <xdr:ext cx="8382000" cy="5584902"/>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7" max="7" width="11" customWidth="1"/>
  </cols>
  <sheetData>
    <row r="1" spans="1:7" x14ac:dyDescent="0.25">
      <c r="A1" s="1" t="s">
        <v>0</v>
      </c>
      <c r="B1" s="2" t="s">
        <v>1</v>
      </c>
      <c r="C1" s="2" t="s">
        <v>2</v>
      </c>
      <c r="D1" s="2" t="s">
        <v>3</v>
      </c>
      <c r="E1" s="2" t="s">
        <v>4</v>
      </c>
      <c r="F1" s="2" t="s">
        <v>5</v>
      </c>
      <c r="G1" s="2" t="s">
        <v>6</v>
      </c>
    </row>
    <row r="2" spans="1:7" x14ac:dyDescent="0.25">
      <c r="A2" s="3" t="s">
        <v>7</v>
      </c>
      <c r="B2" s="4">
        <v>100</v>
      </c>
      <c r="C2" s="4">
        <v>100</v>
      </c>
      <c r="D2" s="4">
        <v>6</v>
      </c>
      <c r="E2" s="4">
        <v>8</v>
      </c>
      <c r="F2" s="4">
        <v>10</v>
      </c>
      <c r="G2" s="4">
        <v>17.2</v>
      </c>
    </row>
    <row r="3" spans="1:7" x14ac:dyDescent="0.25">
      <c r="A3" s="5" t="s">
        <v>8</v>
      </c>
      <c r="B3" s="6">
        <v>125</v>
      </c>
      <c r="C3" s="6">
        <v>125</v>
      </c>
      <c r="D3" s="6">
        <v>6.5</v>
      </c>
      <c r="E3" s="6">
        <v>9</v>
      </c>
      <c r="F3" s="6">
        <v>10</v>
      </c>
      <c r="G3" s="6">
        <v>23.8</v>
      </c>
    </row>
    <row r="4" spans="1:7" x14ac:dyDescent="0.25">
      <c r="A4" s="3" t="s">
        <v>9</v>
      </c>
      <c r="B4" s="4">
        <v>150</v>
      </c>
      <c r="C4" s="4">
        <v>75</v>
      </c>
      <c r="D4" s="4">
        <v>5</v>
      </c>
      <c r="E4" s="4">
        <v>7</v>
      </c>
      <c r="F4" s="4">
        <v>8</v>
      </c>
      <c r="G4" s="4">
        <v>14</v>
      </c>
    </row>
    <row r="5" spans="1:7" x14ac:dyDescent="0.25">
      <c r="A5" s="5" t="s">
        <v>10</v>
      </c>
      <c r="B5" s="6">
        <v>148</v>
      </c>
      <c r="C5" s="6">
        <v>100</v>
      </c>
      <c r="D5" s="6">
        <v>6</v>
      </c>
      <c r="E5" s="6">
        <v>9</v>
      </c>
      <c r="F5" s="6">
        <v>11</v>
      </c>
      <c r="G5" s="6">
        <v>21.1</v>
      </c>
    </row>
    <row r="6" spans="1:7" x14ac:dyDescent="0.25">
      <c r="A6" s="3" t="s">
        <v>11</v>
      </c>
      <c r="B6" s="4">
        <v>150</v>
      </c>
      <c r="C6" s="4">
        <v>150</v>
      </c>
      <c r="D6" s="4">
        <v>7</v>
      </c>
      <c r="E6" s="4">
        <v>10</v>
      </c>
      <c r="F6" s="4">
        <v>11</v>
      </c>
      <c r="G6" s="4">
        <v>31.5</v>
      </c>
    </row>
    <row r="7" spans="1:7" x14ac:dyDescent="0.25">
      <c r="A7" s="5" t="s">
        <v>12</v>
      </c>
      <c r="B7" s="6">
        <v>198</v>
      </c>
      <c r="C7" s="6">
        <v>99</v>
      </c>
      <c r="D7" s="6">
        <v>4.5</v>
      </c>
      <c r="E7" s="6">
        <v>7</v>
      </c>
      <c r="F7" s="6">
        <v>11</v>
      </c>
      <c r="G7" s="6">
        <v>18.2</v>
      </c>
    </row>
    <row r="8" spans="1:7" x14ac:dyDescent="0.25">
      <c r="A8" s="3" t="s">
        <v>13</v>
      </c>
      <c r="B8" s="4">
        <v>200</v>
      </c>
      <c r="C8" s="4">
        <v>100</v>
      </c>
      <c r="D8" s="4">
        <v>5.5</v>
      </c>
      <c r="E8" s="4">
        <v>8</v>
      </c>
      <c r="F8" s="4">
        <v>11</v>
      </c>
      <c r="G8" s="4">
        <v>21.3</v>
      </c>
    </row>
    <row r="9" spans="1:7" x14ac:dyDescent="0.25">
      <c r="A9" s="5" t="s">
        <v>14</v>
      </c>
      <c r="B9" s="6">
        <v>194</v>
      </c>
      <c r="C9" s="6">
        <v>150</v>
      </c>
      <c r="D9" s="6">
        <v>6</v>
      </c>
      <c r="E9" s="6">
        <v>9</v>
      </c>
      <c r="F9" s="6">
        <v>13</v>
      </c>
      <c r="G9" s="6">
        <v>30.6</v>
      </c>
    </row>
    <row r="10" spans="1:7" x14ac:dyDescent="0.25">
      <c r="A10" s="3" t="s">
        <v>15</v>
      </c>
      <c r="B10" s="4">
        <v>200</v>
      </c>
      <c r="C10" s="4">
        <v>200</v>
      </c>
      <c r="D10" s="4">
        <v>8</v>
      </c>
      <c r="E10" s="4">
        <v>12</v>
      </c>
      <c r="F10" s="4">
        <v>13</v>
      </c>
      <c r="G10" s="4">
        <v>49.9</v>
      </c>
    </row>
    <row r="11" spans="1:7" x14ac:dyDescent="0.25">
      <c r="A11" s="5" t="s">
        <v>16</v>
      </c>
      <c r="B11" s="6">
        <v>200</v>
      </c>
      <c r="C11" s="6">
        <v>204</v>
      </c>
      <c r="D11" s="6">
        <v>12</v>
      </c>
      <c r="E11" s="6">
        <v>12</v>
      </c>
      <c r="F11" s="6">
        <v>13</v>
      </c>
      <c r="G11" s="6">
        <v>56.2</v>
      </c>
    </row>
    <row r="12" spans="1:7" x14ac:dyDescent="0.25">
      <c r="A12" s="3" t="s">
        <v>17</v>
      </c>
      <c r="B12" s="4">
        <v>248</v>
      </c>
      <c r="C12" s="4">
        <v>124</v>
      </c>
      <c r="D12" s="4">
        <v>5</v>
      </c>
      <c r="E12" s="4">
        <v>8</v>
      </c>
      <c r="F12" s="4">
        <v>12</v>
      </c>
      <c r="G12" s="4">
        <v>25.7</v>
      </c>
    </row>
    <row r="13" spans="1:7" x14ac:dyDescent="0.25">
      <c r="A13" s="5" t="s">
        <v>18</v>
      </c>
      <c r="B13" s="6">
        <v>250</v>
      </c>
      <c r="C13" s="6">
        <v>125</v>
      </c>
      <c r="D13" s="6">
        <v>6</v>
      </c>
      <c r="E13" s="6">
        <v>9</v>
      </c>
      <c r="F13" s="6">
        <v>12</v>
      </c>
      <c r="G13" s="6">
        <v>29.6</v>
      </c>
    </row>
    <row r="14" spans="1:7" x14ac:dyDescent="0.25">
      <c r="A14" s="3" t="s">
        <v>19</v>
      </c>
      <c r="B14" s="4">
        <v>244</v>
      </c>
      <c r="C14" s="4">
        <v>175</v>
      </c>
      <c r="D14" s="4">
        <v>7</v>
      </c>
      <c r="E14" s="4">
        <v>11</v>
      </c>
      <c r="F14" s="4">
        <v>16</v>
      </c>
      <c r="G14" s="4">
        <v>44.1</v>
      </c>
    </row>
    <row r="15" spans="1:7" x14ac:dyDescent="0.25">
      <c r="A15" s="5" t="s">
        <v>20</v>
      </c>
      <c r="B15" s="6">
        <v>250</v>
      </c>
      <c r="C15" s="6">
        <v>250</v>
      </c>
      <c r="D15" s="6">
        <v>9</v>
      </c>
      <c r="E15" s="6">
        <v>14</v>
      </c>
      <c r="F15" s="6">
        <v>16</v>
      </c>
      <c r="G15" s="6">
        <v>72.4</v>
      </c>
    </row>
    <row r="16" spans="1:7" x14ac:dyDescent="0.25">
      <c r="A16" s="3" t="s">
        <v>21</v>
      </c>
      <c r="B16" s="4">
        <v>250</v>
      </c>
      <c r="C16" s="4">
        <v>255</v>
      </c>
      <c r="D16" s="4">
        <v>14</v>
      </c>
      <c r="E16" s="4">
        <v>14</v>
      </c>
      <c r="F16" s="4">
        <v>16</v>
      </c>
      <c r="G16" s="4">
        <v>82.2</v>
      </c>
    </row>
    <row r="17" spans="1:7" x14ac:dyDescent="0.25">
      <c r="A17" s="5" t="s">
        <v>22</v>
      </c>
      <c r="B17" s="6">
        <v>298</v>
      </c>
      <c r="C17" s="6">
        <v>149</v>
      </c>
      <c r="D17" s="6">
        <v>5.5</v>
      </c>
      <c r="E17" s="6">
        <v>8</v>
      </c>
      <c r="F17" s="6">
        <v>13</v>
      </c>
      <c r="G17" s="6">
        <v>32</v>
      </c>
    </row>
    <row r="18" spans="1:7" x14ac:dyDescent="0.25">
      <c r="A18" s="3" t="s">
        <v>23</v>
      </c>
      <c r="B18" s="4">
        <v>300</v>
      </c>
      <c r="C18" s="4">
        <v>150</v>
      </c>
      <c r="D18" s="4">
        <v>6.5</v>
      </c>
      <c r="E18" s="4">
        <v>9</v>
      </c>
      <c r="F18" s="4">
        <v>13</v>
      </c>
      <c r="G18" s="4">
        <v>36.7</v>
      </c>
    </row>
    <row r="19" spans="1:7" x14ac:dyDescent="0.25">
      <c r="A19" s="5" t="s">
        <v>24</v>
      </c>
      <c r="B19" s="6">
        <v>294</v>
      </c>
      <c r="C19" s="6">
        <v>200</v>
      </c>
      <c r="D19" s="6">
        <v>8</v>
      </c>
      <c r="E19" s="6">
        <v>12</v>
      </c>
      <c r="F19" s="6">
        <v>18</v>
      </c>
      <c r="G19" s="6">
        <v>56.8</v>
      </c>
    </row>
    <row r="20" spans="1:7" x14ac:dyDescent="0.25">
      <c r="A20" s="3" t="s">
        <v>25</v>
      </c>
      <c r="B20" s="4">
        <v>294</v>
      </c>
      <c r="C20" s="4">
        <v>302</v>
      </c>
      <c r="D20" s="4">
        <v>12</v>
      </c>
      <c r="E20" s="4">
        <v>12</v>
      </c>
      <c r="F20" s="4">
        <v>18</v>
      </c>
      <c r="G20" s="4">
        <v>84.5</v>
      </c>
    </row>
    <row r="21" spans="1:7" x14ac:dyDescent="0.25">
      <c r="A21" s="5" t="s">
        <v>26</v>
      </c>
      <c r="B21" s="6">
        <v>300</v>
      </c>
      <c r="C21" s="6">
        <v>300</v>
      </c>
      <c r="D21" s="6">
        <v>10</v>
      </c>
      <c r="E21" s="6">
        <v>15</v>
      </c>
      <c r="F21" s="6">
        <v>18</v>
      </c>
      <c r="G21" s="6">
        <v>94</v>
      </c>
    </row>
    <row r="22" spans="1:7" x14ac:dyDescent="0.25">
      <c r="A22" s="3" t="s">
        <v>27</v>
      </c>
      <c r="B22" s="4">
        <v>300</v>
      </c>
      <c r="C22" s="4">
        <v>305</v>
      </c>
      <c r="D22" s="4">
        <v>15</v>
      </c>
      <c r="E22" s="4">
        <v>15</v>
      </c>
      <c r="F22" s="4">
        <v>18</v>
      </c>
      <c r="G22" s="4">
        <v>106</v>
      </c>
    </row>
    <row r="23" spans="1:7" x14ac:dyDescent="0.25">
      <c r="A23" s="5" t="s">
        <v>28</v>
      </c>
      <c r="B23" s="6">
        <v>346</v>
      </c>
      <c r="C23" s="6">
        <v>174</v>
      </c>
      <c r="D23" s="6">
        <v>6</v>
      </c>
      <c r="E23" s="6">
        <v>9</v>
      </c>
      <c r="F23" s="6">
        <v>14</v>
      </c>
      <c r="G23" s="6">
        <v>41.4</v>
      </c>
    </row>
    <row r="24" spans="1:7" x14ac:dyDescent="0.25">
      <c r="A24" s="3" t="s">
        <v>29</v>
      </c>
      <c r="B24" s="4">
        <v>350</v>
      </c>
      <c r="C24" s="4">
        <v>175</v>
      </c>
      <c r="D24" s="4">
        <v>7</v>
      </c>
      <c r="E24" s="4">
        <v>11</v>
      </c>
      <c r="F24" s="4">
        <v>14</v>
      </c>
      <c r="G24" s="4">
        <v>49.6</v>
      </c>
    </row>
    <row r="25" spans="1:7" x14ac:dyDescent="0.25">
      <c r="A25" s="5" t="s">
        <v>30</v>
      </c>
      <c r="B25" s="6">
        <v>340</v>
      </c>
      <c r="C25" s="6">
        <v>250</v>
      </c>
      <c r="D25" s="6">
        <v>9</v>
      </c>
      <c r="E25" s="6">
        <v>14</v>
      </c>
      <c r="F25" s="6">
        <v>20</v>
      </c>
      <c r="G25" s="6">
        <v>79.7</v>
      </c>
    </row>
    <row r="26" spans="1:7" x14ac:dyDescent="0.25">
      <c r="A26" s="3" t="s">
        <v>31</v>
      </c>
      <c r="B26" s="4">
        <v>344</v>
      </c>
      <c r="C26" s="4">
        <v>348</v>
      </c>
      <c r="D26" s="4">
        <v>10</v>
      </c>
      <c r="E26" s="4">
        <v>16</v>
      </c>
      <c r="F26" s="4">
        <v>20</v>
      </c>
      <c r="G26" s="4">
        <v>115</v>
      </c>
    </row>
    <row r="27" spans="1:7" x14ac:dyDescent="0.25">
      <c r="A27" s="5" t="s">
        <v>32</v>
      </c>
      <c r="B27" s="6">
        <v>350</v>
      </c>
      <c r="C27" s="6">
        <v>350</v>
      </c>
      <c r="D27" s="6">
        <v>12</v>
      </c>
      <c r="E27" s="6">
        <v>19</v>
      </c>
      <c r="F27" s="6">
        <v>20</v>
      </c>
      <c r="G27" s="6">
        <v>137</v>
      </c>
    </row>
    <row r="28" spans="1:7" x14ac:dyDescent="0.25">
      <c r="A28" s="3" t="s">
        <v>33</v>
      </c>
      <c r="B28" s="4">
        <v>396</v>
      </c>
      <c r="C28" s="4">
        <v>199</v>
      </c>
      <c r="D28" s="4">
        <v>7</v>
      </c>
      <c r="E28" s="4">
        <v>11</v>
      </c>
      <c r="F28" s="4">
        <v>16</v>
      </c>
      <c r="G28" s="4">
        <v>56.6</v>
      </c>
    </row>
    <row r="29" spans="1:7" x14ac:dyDescent="0.25">
      <c r="A29" s="5" t="s">
        <v>34</v>
      </c>
      <c r="B29" s="6">
        <v>400</v>
      </c>
      <c r="C29" s="6">
        <v>200</v>
      </c>
      <c r="D29" s="6">
        <v>8</v>
      </c>
      <c r="E29" s="6">
        <v>13</v>
      </c>
      <c r="F29" s="6">
        <v>16</v>
      </c>
      <c r="G29" s="6">
        <v>66</v>
      </c>
    </row>
    <row r="30" spans="1:7" x14ac:dyDescent="0.25">
      <c r="A30" s="3" t="s">
        <v>35</v>
      </c>
      <c r="B30" s="4">
        <v>390</v>
      </c>
      <c r="C30" s="4">
        <v>300</v>
      </c>
      <c r="D30" s="4">
        <v>10</v>
      </c>
      <c r="E30" s="4">
        <v>16</v>
      </c>
      <c r="F30" s="4">
        <v>22</v>
      </c>
      <c r="G30" s="4">
        <v>107</v>
      </c>
    </row>
    <row r="31" spans="1:7" x14ac:dyDescent="0.25">
      <c r="A31" s="5" t="s">
        <v>36</v>
      </c>
      <c r="B31" s="6">
        <v>388</v>
      </c>
      <c r="C31" s="6">
        <v>402</v>
      </c>
      <c r="D31" s="6">
        <v>15</v>
      </c>
      <c r="E31" s="6">
        <v>15</v>
      </c>
      <c r="F31" s="6">
        <v>22</v>
      </c>
      <c r="G31" s="6">
        <v>140</v>
      </c>
    </row>
    <row r="32" spans="1:7" x14ac:dyDescent="0.25">
      <c r="A32" s="3" t="s">
        <v>37</v>
      </c>
      <c r="B32" s="4">
        <v>394</v>
      </c>
      <c r="C32" s="4">
        <v>398</v>
      </c>
      <c r="D32" s="4">
        <v>11</v>
      </c>
      <c r="E32" s="4">
        <v>18</v>
      </c>
      <c r="F32" s="4">
        <v>22</v>
      </c>
      <c r="G32" s="4">
        <v>147</v>
      </c>
    </row>
    <row r="33" spans="1:7" x14ac:dyDescent="0.25">
      <c r="A33" s="5" t="s">
        <v>38</v>
      </c>
      <c r="B33" s="6">
        <v>400</v>
      </c>
      <c r="C33" s="6">
        <v>400</v>
      </c>
      <c r="D33" s="6">
        <v>13</v>
      </c>
      <c r="E33" s="6">
        <v>21</v>
      </c>
      <c r="F33" s="6">
        <v>22</v>
      </c>
      <c r="G33" s="6">
        <v>172</v>
      </c>
    </row>
    <row r="34" spans="1:7" x14ac:dyDescent="0.25">
      <c r="A34" s="3" t="s">
        <v>39</v>
      </c>
      <c r="B34" s="4">
        <v>400</v>
      </c>
      <c r="C34" s="4">
        <v>408</v>
      </c>
      <c r="D34" s="4">
        <v>21</v>
      </c>
      <c r="E34" s="4">
        <v>21</v>
      </c>
      <c r="F34" s="4">
        <v>22</v>
      </c>
      <c r="G34" s="4">
        <v>197</v>
      </c>
    </row>
    <row r="35" spans="1:7" x14ac:dyDescent="0.25">
      <c r="A35" s="5" t="s">
        <v>40</v>
      </c>
      <c r="B35" s="6">
        <v>414</v>
      </c>
      <c r="C35" s="6">
        <v>405</v>
      </c>
      <c r="D35" s="6">
        <v>18</v>
      </c>
      <c r="E35" s="6">
        <v>28</v>
      </c>
      <c r="F35" s="6">
        <v>22</v>
      </c>
      <c r="G35" s="6">
        <v>232</v>
      </c>
    </row>
    <row r="36" spans="1:7" x14ac:dyDescent="0.25">
      <c r="A36" s="3" t="s">
        <v>41</v>
      </c>
      <c r="B36" s="4">
        <v>428</v>
      </c>
      <c r="C36" s="4">
        <v>407</v>
      </c>
      <c r="D36" s="4">
        <v>20</v>
      </c>
      <c r="E36" s="4">
        <v>35</v>
      </c>
      <c r="F36" s="4">
        <v>22</v>
      </c>
      <c r="G36" s="4">
        <v>283</v>
      </c>
    </row>
    <row r="37" spans="1:7" x14ac:dyDescent="0.25">
      <c r="A37" s="5" t="s">
        <v>42</v>
      </c>
      <c r="B37" s="6">
        <v>458</v>
      </c>
      <c r="C37" s="6">
        <v>417</v>
      </c>
      <c r="D37" s="6">
        <v>30</v>
      </c>
      <c r="E37" s="6">
        <v>50</v>
      </c>
      <c r="F37" s="6">
        <v>22</v>
      </c>
      <c r="G37" s="6">
        <v>415</v>
      </c>
    </row>
    <row r="38" spans="1:7" x14ac:dyDescent="0.25">
      <c r="A38" s="3" t="s">
        <v>43</v>
      </c>
      <c r="B38" s="4">
        <v>498</v>
      </c>
      <c r="C38" s="4">
        <v>432</v>
      </c>
      <c r="D38" s="4">
        <v>45</v>
      </c>
      <c r="E38" s="4">
        <v>70</v>
      </c>
      <c r="F38" s="4">
        <v>22</v>
      </c>
      <c r="G38" s="4">
        <v>605</v>
      </c>
    </row>
    <row r="39" spans="1:7" x14ac:dyDescent="0.25">
      <c r="A39" s="5" t="s">
        <v>44</v>
      </c>
      <c r="B39" s="6">
        <v>446</v>
      </c>
      <c r="C39" s="6">
        <v>199</v>
      </c>
      <c r="D39" s="6">
        <v>8</v>
      </c>
      <c r="E39" s="6">
        <v>12</v>
      </c>
      <c r="F39" s="6">
        <v>18</v>
      </c>
      <c r="G39" s="6">
        <v>66.2</v>
      </c>
    </row>
    <row r="40" spans="1:7" x14ac:dyDescent="0.25">
      <c r="A40" s="3" t="s">
        <v>45</v>
      </c>
      <c r="B40" s="4">
        <v>450</v>
      </c>
      <c r="C40" s="4">
        <v>200</v>
      </c>
      <c r="D40" s="4">
        <v>9</v>
      </c>
      <c r="E40" s="4">
        <v>14</v>
      </c>
      <c r="F40" s="4">
        <v>18</v>
      </c>
      <c r="G40" s="4">
        <v>76</v>
      </c>
    </row>
    <row r="41" spans="1:7" x14ac:dyDescent="0.25">
      <c r="A41" s="5" t="s">
        <v>46</v>
      </c>
      <c r="B41" s="6">
        <v>440</v>
      </c>
      <c r="C41" s="6">
        <v>300</v>
      </c>
      <c r="D41" s="6">
        <v>11</v>
      </c>
      <c r="E41" s="6">
        <v>18</v>
      </c>
      <c r="F41" s="6">
        <v>24</v>
      </c>
      <c r="G41" s="6">
        <v>124</v>
      </c>
    </row>
    <row r="42" spans="1:7" x14ac:dyDescent="0.25">
      <c r="A42" s="3" t="s">
        <v>47</v>
      </c>
      <c r="B42" s="4">
        <v>440</v>
      </c>
      <c r="C42" s="4">
        <v>300</v>
      </c>
      <c r="D42" s="4">
        <v>11</v>
      </c>
      <c r="E42" s="4">
        <v>18</v>
      </c>
      <c r="F42" s="4">
        <v>13</v>
      </c>
      <c r="G42" s="4">
        <v>121</v>
      </c>
    </row>
    <row r="43" spans="1:7" x14ac:dyDescent="0.25">
      <c r="A43" s="5" t="s">
        <v>48</v>
      </c>
      <c r="B43" s="6">
        <v>496</v>
      </c>
      <c r="C43" s="6">
        <v>199</v>
      </c>
      <c r="D43" s="6">
        <v>9</v>
      </c>
      <c r="E43" s="6">
        <v>14</v>
      </c>
      <c r="F43" s="6">
        <v>13</v>
      </c>
      <c r="G43" s="6">
        <v>77.9</v>
      </c>
    </row>
    <row r="44" spans="1:7" x14ac:dyDescent="0.25">
      <c r="A44" s="3" t="s">
        <v>49</v>
      </c>
      <c r="B44" s="4">
        <v>500</v>
      </c>
      <c r="C44" s="4">
        <v>200</v>
      </c>
      <c r="D44" s="4">
        <v>10</v>
      </c>
      <c r="E44" s="4">
        <v>16</v>
      </c>
      <c r="F44" s="4">
        <v>13</v>
      </c>
      <c r="G44" s="4">
        <v>88.2</v>
      </c>
    </row>
    <row r="45" spans="1:7" x14ac:dyDescent="0.25">
      <c r="A45" s="5" t="s">
        <v>50</v>
      </c>
      <c r="B45" s="6">
        <v>482</v>
      </c>
      <c r="C45" s="6">
        <v>300</v>
      </c>
      <c r="D45" s="6">
        <v>11</v>
      </c>
      <c r="E45" s="6">
        <v>15</v>
      </c>
      <c r="F45" s="6">
        <v>13</v>
      </c>
      <c r="G45" s="6">
        <v>111</v>
      </c>
    </row>
    <row r="46" spans="1:7" x14ac:dyDescent="0.25">
      <c r="A46" s="3" t="s">
        <v>51</v>
      </c>
      <c r="B46" s="4">
        <v>488</v>
      </c>
      <c r="C46" s="4">
        <v>300</v>
      </c>
      <c r="D46" s="4">
        <v>11</v>
      </c>
      <c r="E46" s="4">
        <v>18</v>
      </c>
      <c r="F46" s="4">
        <v>13</v>
      </c>
      <c r="G46" s="4">
        <v>125</v>
      </c>
    </row>
    <row r="47" spans="1:7" x14ac:dyDescent="0.25">
      <c r="A47" s="5" t="s">
        <v>52</v>
      </c>
      <c r="B47" s="6">
        <v>596</v>
      </c>
      <c r="C47" s="6">
        <v>199</v>
      </c>
      <c r="D47" s="6">
        <v>10</v>
      </c>
      <c r="E47" s="6">
        <v>15</v>
      </c>
      <c r="F47" s="6">
        <v>13</v>
      </c>
      <c r="G47" s="6">
        <v>92.5</v>
      </c>
    </row>
    <row r="48" spans="1:7" x14ac:dyDescent="0.25">
      <c r="A48" s="3" t="s">
        <v>53</v>
      </c>
      <c r="B48" s="4">
        <v>600</v>
      </c>
      <c r="C48" s="4">
        <v>200</v>
      </c>
      <c r="D48" s="4">
        <v>11</v>
      </c>
      <c r="E48" s="4">
        <v>17</v>
      </c>
      <c r="F48" s="4">
        <v>13</v>
      </c>
      <c r="G48" s="4">
        <v>103</v>
      </c>
    </row>
    <row r="49" spans="1:7" x14ac:dyDescent="0.25">
      <c r="A49" s="5" t="s">
        <v>54</v>
      </c>
      <c r="B49" s="6">
        <v>582</v>
      </c>
      <c r="C49" s="6">
        <v>300</v>
      </c>
      <c r="D49" s="6">
        <v>12</v>
      </c>
      <c r="E49" s="6">
        <v>17</v>
      </c>
      <c r="F49" s="6">
        <v>13</v>
      </c>
      <c r="G49" s="6">
        <v>133</v>
      </c>
    </row>
    <row r="50" spans="1:7" x14ac:dyDescent="0.25">
      <c r="A50" s="3" t="s">
        <v>55</v>
      </c>
      <c r="B50" s="4">
        <v>588</v>
      </c>
      <c r="C50" s="4">
        <v>300</v>
      </c>
      <c r="D50" s="4">
        <v>12</v>
      </c>
      <c r="E50" s="4">
        <v>20</v>
      </c>
      <c r="F50" s="4">
        <v>13</v>
      </c>
      <c r="G50" s="4">
        <v>147</v>
      </c>
    </row>
    <row r="51" spans="1:7" x14ac:dyDescent="0.25">
      <c r="A51" s="5" t="s">
        <v>56</v>
      </c>
      <c r="B51" s="6">
        <v>594</v>
      </c>
      <c r="C51" s="6">
        <v>302</v>
      </c>
      <c r="D51" s="6">
        <v>14</v>
      </c>
      <c r="E51" s="6">
        <v>23</v>
      </c>
      <c r="F51" s="6">
        <v>13</v>
      </c>
      <c r="G51" s="6">
        <v>170</v>
      </c>
    </row>
    <row r="52" spans="1:7" x14ac:dyDescent="0.25">
      <c r="A52" s="3" t="s">
        <v>57</v>
      </c>
      <c r="B52" s="4">
        <v>692</v>
      </c>
      <c r="C52" s="4">
        <v>300</v>
      </c>
      <c r="D52" s="4">
        <v>13</v>
      </c>
      <c r="E52" s="4">
        <v>20</v>
      </c>
      <c r="F52" s="4">
        <v>18</v>
      </c>
      <c r="G52" s="4">
        <v>163</v>
      </c>
    </row>
    <row r="53" spans="1:7" x14ac:dyDescent="0.25">
      <c r="A53" s="5" t="s">
        <v>58</v>
      </c>
      <c r="B53" s="6">
        <v>700</v>
      </c>
      <c r="C53" s="6">
        <v>300</v>
      </c>
      <c r="D53" s="6">
        <v>13</v>
      </c>
      <c r="E53" s="6">
        <v>24</v>
      </c>
      <c r="F53" s="6">
        <v>18</v>
      </c>
      <c r="G53" s="6">
        <v>182</v>
      </c>
    </row>
    <row r="54" spans="1:7" x14ac:dyDescent="0.25">
      <c r="A54" s="3" t="s">
        <v>59</v>
      </c>
      <c r="B54" s="4">
        <v>792</v>
      </c>
      <c r="C54" s="4">
        <v>300</v>
      </c>
      <c r="D54" s="4">
        <v>14</v>
      </c>
      <c r="E54" s="4">
        <v>22</v>
      </c>
      <c r="F54" s="4">
        <v>18</v>
      </c>
      <c r="G54" s="4">
        <v>188</v>
      </c>
    </row>
    <row r="55" spans="1:7" x14ac:dyDescent="0.25">
      <c r="A55" s="5" t="s">
        <v>60</v>
      </c>
      <c r="B55" s="6">
        <v>800</v>
      </c>
      <c r="C55" s="6">
        <v>300</v>
      </c>
      <c r="D55" s="6">
        <v>14</v>
      </c>
      <c r="E55" s="6">
        <v>26</v>
      </c>
      <c r="F55" s="6">
        <v>18</v>
      </c>
      <c r="G55" s="6">
        <v>207</v>
      </c>
    </row>
    <row r="56" spans="1:7" x14ac:dyDescent="0.25">
      <c r="A56" s="3" t="s">
        <v>61</v>
      </c>
      <c r="B56" s="4">
        <v>890</v>
      </c>
      <c r="C56" s="4">
        <v>299</v>
      </c>
      <c r="D56" s="4">
        <v>15</v>
      </c>
      <c r="E56" s="4">
        <v>23</v>
      </c>
      <c r="F56" s="4">
        <v>18</v>
      </c>
      <c r="G56" s="4">
        <v>210</v>
      </c>
    </row>
    <row r="57" spans="1:7" x14ac:dyDescent="0.25">
      <c r="A57" s="5" t="s">
        <v>62</v>
      </c>
      <c r="B57" s="6">
        <v>900</v>
      </c>
      <c r="C57" s="6">
        <v>300</v>
      </c>
      <c r="D57" s="6">
        <v>16</v>
      </c>
      <c r="E57" s="6">
        <v>28</v>
      </c>
      <c r="F57" s="6">
        <v>18</v>
      </c>
      <c r="G57" s="6">
        <v>240</v>
      </c>
    </row>
    <row r="58" spans="1:7" x14ac:dyDescent="0.25">
      <c r="A58" s="3" t="s">
        <v>63</v>
      </c>
      <c r="B58" s="4">
        <v>912</v>
      </c>
      <c r="C58" s="4">
        <v>302</v>
      </c>
      <c r="D58" s="4">
        <v>18</v>
      </c>
      <c r="E58" s="4">
        <v>34</v>
      </c>
      <c r="F58" s="4">
        <v>18</v>
      </c>
      <c r="G58" s="4">
        <v>283</v>
      </c>
    </row>
    <row r="59" spans="1:7" x14ac:dyDescent="0.25">
      <c r="A59" s="5" t="s">
        <v>64</v>
      </c>
      <c r="B59" s="6">
        <v>918</v>
      </c>
      <c r="C59" s="6">
        <v>303</v>
      </c>
      <c r="D59" s="6">
        <v>19</v>
      </c>
      <c r="E59" s="6">
        <v>37</v>
      </c>
      <c r="F59" s="6">
        <v>18</v>
      </c>
      <c r="G59" s="6">
        <v>304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1"/>
  <sheetViews>
    <sheetView workbookViewId="0" showGridLines="0" zoomScale="100" zoomScaleNormal="100"/>
  </sheetViews>
  <sheetFormatPr defaultRowHeight="15" outlineLevelRow="0" outlineLevelCol="0" x14ac:dyDescent="55"/>
  <cols>
    <col min="1" max="1" width="3" customWidth="1"/>
    <col min="2" max="2" width="21" customWidth="1"/>
    <col min="3" max="3" width="25" customWidth="1"/>
    <col min="4" max="8" width="10" customWidth="1"/>
    <col min="9" max="10" width="11" customWidth="1"/>
    <col min="11" max="12" width="3" customWidth="1"/>
  </cols>
  <sheetData>
    <row r="1" ht="26" customHeight="1" spans="2:2" x14ac:dyDescent="0.25">
      <c r="B1" s="7" t="s">
        <v>65</v>
      </c>
    </row>
    <row r="2" spans="2:2" x14ac:dyDescent="0.25">
      <c r="B2" s="8" t="s">
        <v>66</v>
      </c>
    </row>
    <row r="4" ht="20" customHeight="1" spans="2:10" x14ac:dyDescent="0.25">
      <c r="B4" s="9" t="s">
        <v>67</v>
      </c>
      <c r="C4" s="10" t="s">
        <v>68</v>
      </c>
      <c r="D4" s="10"/>
      <c r="E4" s="10"/>
      <c r="F4" s="10"/>
      <c r="G4" s="10"/>
      <c r="H4" s="10"/>
      <c r="I4" s="10"/>
      <c r="J4" s="10"/>
    </row>
    <row r="5" spans="2:10" x14ac:dyDescent="0.25">
      <c r="B5" s="11" t="s">
        <v>69</v>
      </c>
      <c r="C5" s="12" t="s">
        <v>0</v>
      </c>
      <c r="D5" s="12" t="s">
        <v>1</v>
      </c>
      <c r="E5" s="12" t="s">
        <v>2</v>
      </c>
      <c r="F5" s="12" t="s">
        <v>70</v>
      </c>
      <c r="G5" s="12" t="s">
        <v>71</v>
      </c>
      <c r="H5" s="12" t="s">
        <v>5</v>
      </c>
      <c r="I5" s="12" t="s">
        <v>6</v>
      </c>
      <c r="J5" s="12" t="s">
        <v>72</v>
      </c>
    </row>
    <row r="6" spans="2:10" x14ac:dyDescent="0.25">
      <c r="B6" s="13" t="s">
        <v>73</v>
      </c>
      <c r="C6" s="14" t="s">
        <v>26</v>
      </c>
      <c r="D6" s="15">
        <f>IFERROR(VLOOKUP($C$6,SECT!$A:$G,2,FALSE),"")</f>
        <v>300</v>
      </c>
      <c r="E6" s="15">
        <f>IFERROR(VLOOKUP($C$6,SECT!$A:$G,3,FALSE),"")</f>
        <v>300</v>
      </c>
      <c r="F6" s="15">
        <f>IFERROR(VLOOKUP($C$6,SECT!$A:$G,4,FALSE),"")</f>
        <v>10</v>
      </c>
      <c r="G6" s="15">
        <f>IFERROR(VLOOKUP($C$6,SECT!$A:$G,5,FALSE),"")</f>
        <v>15</v>
      </c>
      <c r="H6" s="15">
        <f>IFERROR(VLOOKUP($C$6,SECT!$A:$G,6,FALSE),"")</f>
        <v>18</v>
      </c>
      <c r="I6" s="15">
        <f>IFERROR(VLOOKUP($C$6,SECT!$A:$G,7,FALSE),"")</f>
        <v>94</v>
      </c>
      <c r="J6" s="14">
        <v>1800</v>
      </c>
    </row>
    <row r="7" spans="2:3" x14ac:dyDescent="0.25">
      <c r="B7" s="13" t="s">
        <v>74</v>
      </c>
      <c r="C7" s="14">
        <v>20</v>
      </c>
    </row>
    <row r="8" spans="2:10" x14ac:dyDescent="0.25">
      <c r="B8" s="16" t="s">
        <v>75</v>
      </c>
      <c r="C8" s="16"/>
      <c r="D8" s="16"/>
      <c r="E8" s="16"/>
      <c r="F8" s="16"/>
      <c r="G8" s="16"/>
      <c r="H8" s="16"/>
      <c r="I8" s="16"/>
      <c r="J8" s="16"/>
    </row>
    <row r="10" spans="2:6" x14ac:dyDescent="0.25">
      <c r="B10" s="17" t="s">
        <v>76</v>
      </c>
      <c r="C10" s="18" t="s">
        <v>77</v>
      </c>
      <c r="D10" s="17">
        <f>=PARAM!$D$6-2*PARAM!$G$6</f>
        <v>270</v>
      </c>
      <c r="E10" s="18" t="s">
        <v>78</v>
      </c>
      <c r="F10" s="17">
        <f>=PARAM!$C$7/2+PARAM!$J$6/2</f>
        <v>910</v>
      </c>
    </row>
    <row r="12" ht="20" customHeight="1" spans="2:10" x14ac:dyDescent="0.25">
      <c r="B12" s="9" t="s">
        <v>79</v>
      </c>
      <c r="C12" s="10" t="s">
        <v>80</v>
      </c>
      <c r="D12" s="10"/>
      <c r="E12" s="10"/>
      <c r="F12" s="10"/>
      <c r="G12" s="10"/>
      <c r="H12" s="10"/>
      <c r="I12" s="10"/>
      <c r="J12" s="10"/>
    </row>
    <row r="13" spans="2:7" x14ac:dyDescent="0.25">
      <c r="B13" s="11" t="s">
        <v>69</v>
      </c>
      <c r="C13" s="12" t="s">
        <v>81</v>
      </c>
      <c r="D13" s="12" t="s">
        <v>72</v>
      </c>
      <c r="E13" s="12" t="s">
        <v>82</v>
      </c>
      <c r="F13" s="12" t="s">
        <v>83</v>
      </c>
      <c r="G13" s="12" t="s">
        <v>84</v>
      </c>
    </row>
    <row r="14" spans="2:7" x14ac:dyDescent="0.25">
      <c r="B14" s="13" t="s">
        <v>85</v>
      </c>
      <c r="C14" s="14">
        <v>280</v>
      </c>
      <c r="D14" s="14">
        <v>300</v>
      </c>
      <c r="E14" s="14">
        <v>12</v>
      </c>
      <c r="F14" s="19">
        <v>1</v>
      </c>
      <c r="G14" s="14" t="s">
        <v>86</v>
      </c>
    </row>
    <row r="15" spans="2:7" x14ac:dyDescent="0.25">
      <c r="B15" s="13" t="s">
        <v>87</v>
      </c>
      <c r="C15" s="14">
        <v>110</v>
      </c>
      <c r="D15" s="14">
        <v>300</v>
      </c>
      <c r="E15" s="14">
        <v>10</v>
      </c>
      <c r="F15" s="19">
        <v>2</v>
      </c>
      <c r="G15" s="14" t="s">
        <v>86</v>
      </c>
    </row>
    <row r="16" spans="2:7" x14ac:dyDescent="0.25">
      <c r="B16" s="13" t="s">
        <v>88</v>
      </c>
      <c r="C16" s="14">
        <v>220</v>
      </c>
      <c r="D16" s="14">
        <v>280</v>
      </c>
      <c r="E16" s="14">
        <v>10</v>
      </c>
      <c r="F16" s="19">
        <v>2</v>
      </c>
      <c r="G16" s="14" t="s">
        <v>86</v>
      </c>
    </row>
    <row r="17" spans="2:7" x14ac:dyDescent="0.25">
      <c r="B17" s="13" t="s">
        <v>89</v>
      </c>
      <c r="C17" s="14">
        <v>110</v>
      </c>
      <c r="D17" s="14">
        <v>300</v>
      </c>
      <c r="E17" s="14">
        <v>10</v>
      </c>
      <c r="F17" s="19">
        <v>2</v>
      </c>
      <c r="G17" s="14" t="s">
        <v>86</v>
      </c>
    </row>
    <row r="18" spans="2:7" x14ac:dyDescent="0.25">
      <c r="B18" s="13" t="s">
        <v>90</v>
      </c>
      <c r="C18" s="14">
        <v>280</v>
      </c>
      <c r="D18" s="14">
        <v>300</v>
      </c>
      <c r="E18" s="14">
        <v>12</v>
      </c>
      <c r="F18" s="19">
        <v>1</v>
      </c>
      <c r="G18" s="14" t="s">
        <v>86</v>
      </c>
    </row>
    <row r="20" spans="2:4" x14ac:dyDescent="0.25">
      <c r="B20" s="17" t="s">
        <v>76</v>
      </c>
      <c r="C20" s="18" t="s">
        <v>91</v>
      </c>
      <c r="D20" s="17">
        <f>=ROUND((PARAM!$C$14*PARAM!$D$14*PARAM!$E$14*2+PARAM!$C$15*PARAM!$D$15*PARAM!$E$15*4+PARAM!$C$16*PARAM!$D$16*PARAM!$E$16*2)*7.85/1000000,1)</f>
        <v>35.9</v>
      </c>
    </row>
    <row r="22" ht="20" customHeight="1" spans="2:10" x14ac:dyDescent="0.25">
      <c r="B22" s="9" t="s">
        <v>92</v>
      </c>
      <c r="C22" s="10" t="s">
        <v>93</v>
      </c>
      <c r="D22" s="10"/>
      <c r="E22" s="10"/>
      <c r="F22" s="10"/>
      <c r="G22" s="10"/>
      <c r="H22" s="10"/>
      <c r="I22" s="10"/>
      <c r="J22" s="10"/>
    </row>
    <row r="23" spans="2:7" x14ac:dyDescent="0.25">
      <c r="B23" s="11" t="s">
        <v>69</v>
      </c>
      <c r="C23" s="12" t="s">
        <v>94</v>
      </c>
      <c r="D23" s="12" t="s">
        <v>95</v>
      </c>
      <c r="E23" s="12" t="s">
        <v>96</v>
      </c>
      <c r="F23" s="12" t="s">
        <v>97</v>
      </c>
      <c r="G23" s="12" t="s">
        <v>98</v>
      </c>
    </row>
    <row r="24" spans="2:7" x14ac:dyDescent="0.25">
      <c r="B24" s="13" t="s">
        <v>99</v>
      </c>
      <c r="C24" s="14">
        <v>22</v>
      </c>
      <c r="D24" s="14">
        <v>24</v>
      </c>
      <c r="E24" s="14" t="s">
        <v>100</v>
      </c>
      <c r="F24" s="14">
        <f>PARAM!$E$14+PARAM!$G$6+PARAM!$E$15+30</f>
        <v>67</v>
      </c>
      <c r="G24" s="14">
        <f>PARAM!$F$6+2*PARAM!$E$16+30</f>
        <v>60</v>
      </c>
    </row>
    <row r="26" spans="2:8" x14ac:dyDescent="0.25">
      <c r="B26" s="11" t="s">
        <v>101</v>
      </c>
      <c r="C26" s="12" t="s">
        <v>102</v>
      </c>
      <c r="D26" s="12" t="s">
        <v>103</v>
      </c>
      <c r="E26" s="12" t="s">
        <v>104</v>
      </c>
      <c r="F26" s="12" t="s">
        <v>105</v>
      </c>
      <c r="G26" s="12" t="s">
        <v>103</v>
      </c>
      <c r="H26" s="12" t="s">
        <v>104</v>
      </c>
    </row>
    <row r="27" spans="2:8" x14ac:dyDescent="0.25">
      <c r="B27" s="13" t="s">
        <v>106</v>
      </c>
      <c r="C27" s="14">
        <v>4</v>
      </c>
      <c r="D27" s="14">
        <v>70</v>
      </c>
      <c r="E27" s="14">
        <v>40</v>
      </c>
      <c r="F27" s="14">
        <v>4</v>
      </c>
      <c r="G27" s="14">
        <v>100</v>
      </c>
      <c r="H27" s="14">
        <v>35</v>
      </c>
    </row>
    <row r="28" spans="2:8" x14ac:dyDescent="0.25">
      <c r="B28" s="13" t="s">
        <v>107</v>
      </c>
      <c r="C28" s="14">
        <v>4</v>
      </c>
      <c r="D28" s="14">
        <v>60</v>
      </c>
      <c r="E28" s="14">
        <v>40</v>
      </c>
      <c r="F28" s="14">
        <v>3</v>
      </c>
      <c r="G28" s="14">
        <v>0</v>
      </c>
      <c r="H28" s="14">
        <v>40</v>
      </c>
    </row>
    <row r="29" spans="2:8" x14ac:dyDescent="0.25">
      <c r="B29" s="13" t="s">
        <v>108</v>
      </c>
      <c r="C29" s="14">
        <v>4</v>
      </c>
      <c r="D29" s="14">
        <v>70</v>
      </c>
      <c r="E29" s="14">
        <v>40</v>
      </c>
      <c r="F29" s="14">
        <v>4</v>
      </c>
      <c r="G29" s="14">
        <v>100</v>
      </c>
      <c r="H29" s="14">
        <v>35</v>
      </c>
    </row>
    <row r="30" spans="2:10" x14ac:dyDescent="0.25">
      <c r="B30" s="16" t="s">
        <v>109</v>
      </c>
      <c r="C30" s="16"/>
      <c r="D30" s="16"/>
      <c r="E30" s="16"/>
      <c r="F30" s="16"/>
      <c r="G30" s="16"/>
      <c r="H30" s="16"/>
      <c r="I30" s="16"/>
      <c r="J30" s="16"/>
    </row>
    <row r="31" spans="2:8" x14ac:dyDescent="0.25">
      <c r="B31" s="17" t="s">
        <v>76</v>
      </c>
      <c r="C31" s="18" t="s">
        <v>110</v>
      </c>
      <c r="D31" s="17" t="str">
        <f>=ROUND((PARAM!$D$14/2-PARAM!$E$27-PARAM!$D$27/2)/(PARAM!$C$27/2-1),1)&amp;" / "&amp;ROUND((PARAM!$C$14/2-PARAM!$H$27-PARAM!$G$27/2)/(PARAM!$F$27/2-1),1)</f>
        <v>75 / 55</v>
      </c>
      <c r="E31" s="18" t="s">
        <v>111</v>
      </c>
      <c r="F31" s="17" t="str">
        <f>=ROUND((PARAM!$D$16/2-PARAM!$E$28-PARAM!$D$28/2)/(PARAM!$C$28/2-1),1)&amp;" / "&amp;ROUND((PARAM!$C$16-2*PARAM!$H$28-PARAM!$G$28)/(PARAM!$F$28-1),1)</f>
        <v>70 / 70</v>
      </c>
      <c r="G31" s="18" t="s">
        <v>112</v>
      </c>
      <c r="H31" s="17">
        <f>=PARAM!$C$27*PARAM!$F$27+PARAM!$C$29*PARAM!$F$29+PARAM!$C$28*PARAM!$F$28</f>
        <v>44</v>
      </c>
    </row>
    <row r="34" ht="20" customHeight="1" spans="2:10" x14ac:dyDescent="0.25">
      <c r="B34" s="9" t="s">
        <v>113</v>
      </c>
      <c r="C34" s="10" t="s">
        <v>114</v>
      </c>
      <c r="D34" s="10"/>
      <c r="E34" s="10"/>
      <c r="F34" s="10"/>
      <c r="G34" s="10"/>
      <c r="H34" s="10"/>
      <c r="I34" s="10"/>
      <c r="J34" s="10"/>
    </row>
    <row r="36" spans="2:2" x14ac:dyDescent="0.25">
      <c r="B36" s="13" t="s">
        <v>115</v>
      </c>
    </row>
    <row r="61" spans="2:2" x14ac:dyDescent="0.25">
      <c r="B61" s="13" t="s">
        <v>116</v>
      </c>
    </row>
    <row r="92" spans="2:2" x14ac:dyDescent="0.25">
      <c r="B92" s="13" t="s">
        <v>117</v>
      </c>
    </row>
    <row r="131" spans="2:2" x14ac:dyDescent="0.25">
      <c r="B131" s="13" t="s">
        <v>118</v>
      </c>
    </row>
  </sheetData>
  <mergeCells count="2">
    <mergeCell ref="B8:J8"/>
    <mergeCell ref="B30:J30"/>
  </mergeCells>
  <dataValidations count="3">
    <dataValidation type="list" showErrorMessage="1" error="Pick one from the SECT tab." sqref="C6">
      <formula1>SECT!$A$2:$A$59</formula1>
    </dataValidation>
    <dataValidation type="list" sqref="E24">
      <formula1>"F8T,F10T,F13T"</formula1>
    </dataValidation>
    <dataValidation type="list" sqref="G14:G18">
      <formula1>"SS275,SM355,SM420,SM460,SM490"</formula1>
    </dataValidation>
  </dataValidations>
  <pageMargins left="0.7" right="0.7" top="0.75" bottom="0.75" header="0.3" footer="0.3"/>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6"/>
  <sheetViews>
    <sheetView workbookViewId="0" showGridLines="0" zoomScale="100" zoomScaleNormal="100"/>
  </sheetViews>
  <sheetFormatPr defaultRowHeight="15" outlineLevelRow="0" outlineLevelCol="0" x14ac:dyDescent="55"/>
  <cols>
    <col min="1" max="1" width="46" customWidth="1"/>
    <col min="2" max="2" width="10" customWidth="1"/>
    <col min="3" max="3" width="12" customWidth="1"/>
    <col min="4" max="6" width="10" customWidth="1"/>
  </cols>
  <sheetData>
    <row r="1" spans="1:1" x14ac:dyDescent="0.25">
      <c r="A1" s="16" t="s">
        <v>119</v>
      </c>
    </row>
    <row r="2" spans="2:3" x14ac:dyDescent="0.25">
      <c r="B2" s="20" t="s">
        <v>120</v>
      </c>
      <c r="C2" s="21" t="s">
        <v>121</v>
      </c>
    </row>
    <row r="3" spans="1:1" x14ac:dyDescent="0.25">
      <c r="A3" s="16" t="s">
        <v>69</v>
      </c>
    </row>
    <row r="4" spans="1:6" x14ac:dyDescent="0.25">
      <c r="A4" s="16" t="s">
        <v>122</v>
      </c>
      <c r="B4" s="20" t="s">
        <v>123</v>
      </c>
      <c r="C4" s="21" t="s">
        <v>124</v>
      </c>
      <c r="D4" s="21" t="s">
        <v>125</v>
      </c>
      <c r="E4" s="21" t="s">
        <v>126</v>
      </c>
      <c r="F4" s="21">
        <f>=PARAM!$D$24</f>
        <v>24</v>
      </c>
    </row>
    <row r="5" spans="1:6" x14ac:dyDescent="0.25">
      <c r="A5" s="16" t="s">
        <v>127</v>
      </c>
      <c r="B5" s="20" t="s">
        <v>123</v>
      </c>
      <c r="C5" s="21" t="s">
        <v>128</v>
      </c>
      <c r="D5" s="21" t="s">
        <v>125</v>
      </c>
      <c r="E5" s="21" t="s">
        <v>126</v>
      </c>
      <c r="F5" s="21">
        <f>=2*PARAM!$H$6</f>
        <v>36</v>
      </c>
    </row>
    <row r="6" spans="1:1" x14ac:dyDescent="0.25">
      <c r="A6" s="16" t="s">
        <v>69</v>
      </c>
    </row>
    <row r="7" spans="1:1" x14ac:dyDescent="0.25">
      <c r="A7" s="16" t="s">
        <v>129</v>
      </c>
    </row>
    <row r="8" spans="1:9" x14ac:dyDescent="0.25">
      <c r="A8" s="16" t="s">
        <v>130</v>
      </c>
      <c r="B8" s="20" t="s">
        <v>131</v>
      </c>
      <c r="C8" s="21" t="s">
        <v>132</v>
      </c>
      <c r="D8" s="21" t="str">
        <f>=PARAM!$G$14</f>
        <v>SM355</v>
      </c>
      <c r="E8" s="21">
        <f>=PARAM!$G$6</f>
        <v>15</v>
      </c>
      <c r="F8" s="21" t="s">
        <v>133</v>
      </c>
      <c r="G8" s="21" t="s">
        <v>126</v>
      </c>
      <c r="H8" s="21">
        <f>=PARAM!$J$6</f>
        <v>1800</v>
      </c>
      <c r="I8" s="21">
        <f>=PARAM!$E$6</f>
        <v>300</v>
      </c>
    </row>
    <row r="9" spans="1:9" x14ac:dyDescent="0.25">
      <c r="A9" s="16" t="s">
        <v>134</v>
      </c>
      <c r="B9" s="20" t="s">
        <v>131</v>
      </c>
      <c r="C9" s="21" t="s">
        <v>135</v>
      </c>
      <c r="D9" s="21" t="str">
        <f>=PARAM!$G$14</f>
        <v>SM355</v>
      </c>
      <c r="E9" s="21">
        <f>=PARAM!$G$6</f>
        <v>15</v>
      </c>
      <c r="F9" s="21" t="s">
        <v>133</v>
      </c>
      <c r="G9" s="21" t="s">
        <v>126</v>
      </c>
      <c r="H9" s="21">
        <f>=PARAM!$J$6</f>
        <v>1800</v>
      </c>
      <c r="I9" s="21">
        <f>=PARAM!$E$6</f>
        <v>300</v>
      </c>
    </row>
    <row r="10" spans="1:9" x14ac:dyDescent="0.25">
      <c r="A10" s="16" t="s">
        <v>136</v>
      </c>
      <c r="B10" s="20" t="s">
        <v>131</v>
      </c>
      <c r="C10" s="21" t="s">
        <v>137</v>
      </c>
      <c r="D10" s="21" t="str">
        <f>=PARAM!$G$14</f>
        <v>SM355</v>
      </c>
      <c r="E10" s="21">
        <f>=PARAM!$F$6</f>
        <v>10</v>
      </c>
      <c r="F10" s="21" t="s">
        <v>133</v>
      </c>
      <c r="G10" s="21" t="s">
        <v>126</v>
      </c>
      <c r="H10" s="21">
        <f>=PARAM!$J$6</f>
        <v>1800</v>
      </c>
      <c r="I10" s="21">
        <f>=PARAM!$D$6-2*PARAM!$G$6</f>
        <v>270</v>
      </c>
    </row>
    <row r="11" spans="1:9" x14ac:dyDescent="0.25">
      <c r="A11" s="16" t="s">
        <v>138</v>
      </c>
      <c r="B11" s="20" t="s">
        <v>131</v>
      </c>
      <c r="C11" s="21" t="s">
        <v>139</v>
      </c>
      <c r="D11" s="21" t="str">
        <f>=PARAM!$G$14</f>
        <v>SM355</v>
      </c>
      <c r="E11" s="21">
        <f>=PARAM!$J$6</f>
        <v>1800</v>
      </c>
      <c r="F11" s="21" t="s">
        <v>133</v>
      </c>
      <c r="G11" s="21" t="s">
        <v>126</v>
      </c>
      <c r="H11" s="21">
        <f>=PARAM!$H$6</f>
        <v>18</v>
      </c>
      <c r="I11" s="21">
        <f>=PARAM!$H$6</f>
        <v>18</v>
      </c>
    </row>
    <row r="12" spans="1:9" x14ac:dyDescent="0.25">
      <c r="A12" s="16" t="s">
        <v>140</v>
      </c>
      <c r="B12" s="20" t="s">
        <v>131</v>
      </c>
      <c r="C12" s="21" t="s">
        <v>141</v>
      </c>
      <c r="D12" s="21" t="str">
        <f>=PARAM!$G$14</f>
        <v>SM355</v>
      </c>
      <c r="E12" s="21">
        <f>=PARAM!$E$14</f>
        <v>12</v>
      </c>
      <c r="F12" s="21" t="s">
        <v>133</v>
      </c>
      <c r="G12" s="21" t="s">
        <v>126</v>
      </c>
      <c r="H12" s="21">
        <f>=PARAM!$D$14</f>
        <v>300</v>
      </c>
      <c r="I12" s="21">
        <f>=PARAM!$C$14</f>
        <v>280</v>
      </c>
    </row>
    <row r="13" spans="1:9" x14ac:dyDescent="0.25">
      <c r="A13" s="16" t="s">
        <v>142</v>
      </c>
      <c r="B13" s="20" t="s">
        <v>131</v>
      </c>
      <c r="C13" s="21" t="s">
        <v>143</v>
      </c>
      <c r="D13" s="21" t="str">
        <f>=PARAM!$G$15</f>
        <v>SM355</v>
      </c>
      <c r="E13" s="21">
        <f>=PARAM!$E$15</f>
        <v>10</v>
      </c>
      <c r="F13" s="21" t="s">
        <v>133</v>
      </c>
      <c r="G13" s="21" t="s">
        <v>126</v>
      </c>
      <c r="H13" s="21">
        <f>=PARAM!$D$15</f>
        <v>300</v>
      </c>
      <c r="I13" s="21">
        <f>=PARAM!$C$15</f>
        <v>110</v>
      </c>
    </row>
    <row r="14" spans="1:9" x14ac:dyDescent="0.25">
      <c r="A14" s="16" t="s">
        <v>144</v>
      </c>
      <c r="B14" s="20" t="s">
        <v>131</v>
      </c>
      <c r="C14" s="21" t="s">
        <v>145</v>
      </c>
      <c r="D14" s="21" t="str">
        <f>=PARAM!$G$16</f>
        <v>SM355</v>
      </c>
      <c r="E14" s="21">
        <f>=PARAM!$E$16</f>
        <v>10</v>
      </c>
      <c r="F14" s="21" t="s">
        <v>133</v>
      </c>
      <c r="G14" s="21" t="s">
        <v>126</v>
      </c>
      <c r="H14" s="21">
        <f>=PARAM!$D$16</f>
        <v>280</v>
      </c>
      <c r="I14" s="21">
        <f>=PARAM!$C$16</f>
        <v>220</v>
      </c>
    </row>
    <row r="15" spans="1:9" x14ac:dyDescent="0.25">
      <c r="A15" s="16" t="s">
        <v>146</v>
      </c>
      <c r="B15" s="20" t="s">
        <v>131</v>
      </c>
      <c r="C15" s="21" t="s">
        <v>147</v>
      </c>
      <c r="D15" s="21" t="str">
        <f>=PARAM!$G$17</f>
        <v>SM355</v>
      </c>
      <c r="E15" s="21">
        <f>=PARAM!$E$17</f>
        <v>10</v>
      </c>
      <c r="F15" s="21" t="s">
        <v>133</v>
      </c>
      <c r="G15" s="21" t="s">
        <v>126</v>
      </c>
      <c r="H15" s="21">
        <f>=PARAM!$D$17</f>
        <v>300</v>
      </c>
      <c r="I15" s="21">
        <f>=PARAM!$C$17</f>
        <v>110</v>
      </c>
    </row>
    <row r="16" spans="1:9" x14ac:dyDescent="0.25">
      <c r="A16" s="16" t="s">
        <v>148</v>
      </c>
      <c r="B16" s="20" t="s">
        <v>131</v>
      </c>
      <c r="C16" s="21" t="s">
        <v>149</v>
      </c>
      <c r="D16" s="21" t="str">
        <f>=PARAM!$G$18</f>
        <v>SM355</v>
      </c>
      <c r="E16" s="21">
        <f>=PARAM!$E$18</f>
        <v>12</v>
      </c>
      <c r="F16" s="21" t="s">
        <v>133</v>
      </c>
      <c r="G16" s="21" t="s">
        <v>126</v>
      </c>
      <c r="H16" s="21">
        <f>=PARAM!$D$18</f>
        <v>300</v>
      </c>
      <c r="I16" s="21">
        <f>=PARAM!$C$18</f>
        <v>280</v>
      </c>
    </row>
    <row r="17" spans="1:1" x14ac:dyDescent="0.25">
      <c r="A17" s="16" t="s">
        <v>69</v>
      </c>
    </row>
    <row r="18" spans="1:1" x14ac:dyDescent="0.25">
      <c r="A18" s="16" t="s">
        <v>150</v>
      </c>
    </row>
    <row r="19" spans="1:6" x14ac:dyDescent="0.25">
      <c r="A19" s="16" t="s">
        <v>151</v>
      </c>
      <c r="B19" s="20" t="s">
        <v>152</v>
      </c>
      <c r="C19" s="21" t="s">
        <v>153</v>
      </c>
      <c r="D19" s="21" t="s">
        <v>154</v>
      </c>
      <c r="E19" s="21">
        <f>=PARAM!$C$24</f>
        <v>22</v>
      </c>
      <c r="F19" s="21">
        <f>=PARAM!$F$24</f>
        <v>67</v>
      </c>
    </row>
    <row r="20" spans="1:6" x14ac:dyDescent="0.25">
      <c r="A20" s="16" t="s">
        <v>155</v>
      </c>
      <c r="B20" s="20" t="s">
        <v>152</v>
      </c>
      <c r="C20" s="21" t="s">
        <v>156</v>
      </c>
      <c r="D20" s="21" t="s">
        <v>154</v>
      </c>
      <c r="E20" s="21">
        <f>=PARAM!$C$24</f>
        <v>22</v>
      </c>
      <c r="F20" s="21">
        <f>=PARAM!$G$24</f>
        <v>60</v>
      </c>
    </row>
    <row r="21" spans="1:1" x14ac:dyDescent="0.25">
      <c r="A21" s="16" t="s">
        <v>69</v>
      </c>
    </row>
    <row r="22" spans="1:1" x14ac:dyDescent="0.25">
      <c r="A22" s="16" t="s">
        <v>157</v>
      </c>
    </row>
    <row r="23" spans="1:12" x14ac:dyDescent="0.25">
      <c r="A23" s="16" t="s">
        <v>158</v>
      </c>
      <c r="B23" s="20" t="s">
        <v>159</v>
      </c>
      <c r="C23" s="21" t="s">
        <v>141</v>
      </c>
      <c r="D23" s="21">
        <f>=(PARAM!$D$27/2)</f>
        <v>35</v>
      </c>
      <c r="E23" s="21">
        <f>=(PARAM!$G$27/2)</f>
        <v>50</v>
      </c>
      <c r="F23" s="21" t="s">
        <v>124</v>
      </c>
      <c r="G23" s="21">
        <f>=((PARAM!$D$14/2-PARAM!$E$27-PARAM!$D$27/2)/(PARAM!$C$27/2-1))</f>
        <v>75</v>
      </c>
      <c r="H23" s="21">
        <v>0</v>
      </c>
      <c r="I23" s="21">
        <f>=PARAM!$C$27/2-1</f>
        <v>1</v>
      </c>
      <c r="J23" s="21">
        <v>0</v>
      </c>
      <c r="K23" s="21">
        <f>=((PARAM!$C$14/2-PARAM!$H$27-PARAM!$G$27/2)/(PARAM!$F$27/2-1))</f>
        <v>55</v>
      </c>
      <c r="L23" s="21">
        <f>=PARAM!$F$27/2-1</f>
        <v>1</v>
      </c>
    </row>
    <row r="24" spans="2:12" x14ac:dyDescent="0.25">
      <c r="B24" s="20" t="s">
        <v>159</v>
      </c>
      <c r="C24" s="21" t="s">
        <v>141</v>
      </c>
      <c r="D24" s="21">
        <f>=(PARAM!$D$27/2)</f>
        <v>35</v>
      </c>
      <c r="E24" s="21">
        <f>=-(PARAM!$G$27/2)</f>
        <v>-50</v>
      </c>
      <c r="F24" s="21" t="s">
        <v>124</v>
      </c>
      <c r="G24" s="21">
        <f>=((PARAM!$D$14/2-PARAM!$E$27-PARAM!$D$27/2)/(PARAM!$C$27/2-1))</f>
        <v>75</v>
      </c>
      <c r="H24" s="21">
        <v>0</v>
      </c>
      <c r="I24" s="21">
        <f>=PARAM!$C$27/2-1</f>
        <v>1</v>
      </c>
      <c r="J24" s="21">
        <v>0</v>
      </c>
      <c r="K24" s="21">
        <f>=-((PARAM!$C$14/2-PARAM!$H$27-PARAM!$G$27/2)/(PARAM!$F$27/2-1))</f>
        <v>-55</v>
      </c>
      <c r="L24" s="21">
        <f>=PARAM!$F$27/2-1</f>
        <v>1</v>
      </c>
    </row>
    <row r="25" spans="2:12" x14ac:dyDescent="0.25">
      <c r="B25" s="20" t="s">
        <v>159</v>
      </c>
      <c r="C25" s="21" t="s">
        <v>141</v>
      </c>
      <c r="D25" s="21">
        <f>=-(PARAM!$D$27/2)</f>
        <v>-35</v>
      </c>
      <c r="E25" s="21">
        <f>=(PARAM!$G$27/2)</f>
        <v>50</v>
      </c>
      <c r="F25" s="21" t="s">
        <v>124</v>
      </c>
      <c r="G25" s="21">
        <f>=-((PARAM!$D$14/2-PARAM!$E$27-PARAM!$D$27/2)/(PARAM!$C$27/2-1))</f>
        <v>-75</v>
      </c>
      <c r="H25" s="21">
        <v>0</v>
      </c>
      <c r="I25" s="21">
        <f>=PARAM!$C$27/2-1</f>
        <v>1</v>
      </c>
      <c r="J25" s="21">
        <v>0</v>
      </c>
      <c r="K25" s="21">
        <f>=((PARAM!$C$14/2-PARAM!$H$27-PARAM!$G$27/2)/(PARAM!$F$27/2-1))</f>
        <v>55</v>
      </c>
      <c r="L25" s="21">
        <f>=PARAM!$F$27/2-1</f>
        <v>1</v>
      </c>
    </row>
    <row r="26" spans="2:12" x14ac:dyDescent="0.25">
      <c r="B26" s="20" t="s">
        <v>159</v>
      </c>
      <c r="C26" s="21" t="s">
        <v>141</v>
      </c>
      <c r="D26" s="21">
        <f>=-(PARAM!$D$27/2)</f>
        <v>-35</v>
      </c>
      <c r="E26" s="21">
        <f>=-(PARAM!$G$27/2)</f>
        <v>-50</v>
      </c>
      <c r="F26" s="21" t="s">
        <v>124</v>
      </c>
      <c r="G26" s="21">
        <f>=-((PARAM!$D$14/2-PARAM!$E$27-PARAM!$D$27/2)/(PARAM!$C$27/2-1))</f>
        <v>-75</v>
      </c>
      <c r="H26" s="21">
        <v>0</v>
      </c>
      <c r="I26" s="21">
        <f>=PARAM!$C$27/2-1</f>
        <v>1</v>
      </c>
      <c r="J26" s="21">
        <v>0</v>
      </c>
      <c r="K26" s="21">
        <f>=-((PARAM!$C$14/2-PARAM!$H$27-PARAM!$G$27/2)/(PARAM!$F$27/2-1))</f>
        <v>-55</v>
      </c>
      <c r="L26" s="21">
        <f>=PARAM!$F$27/2-1</f>
        <v>1</v>
      </c>
    </row>
    <row r="27" spans="1:12" x14ac:dyDescent="0.25">
      <c r="A27" s="16" t="s">
        <v>160</v>
      </c>
      <c r="B27" s="20" t="s">
        <v>159</v>
      </c>
      <c r="C27" s="21" t="s">
        <v>149</v>
      </c>
      <c r="D27" s="21">
        <f>=(PARAM!$D$27/2)</f>
        <v>35</v>
      </c>
      <c r="E27" s="21">
        <f>=(PARAM!$G$27/2)</f>
        <v>50</v>
      </c>
      <c r="F27" s="21" t="s">
        <v>124</v>
      </c>
      <c r="G27" s="21">
        <f>=((PARAM!$D$14/2-PARAM!$E$27-PARAM!$D$27/2)/(PARAM!$C$27/2-1))</f>
        <v>75</v>
      </c>
      <c r="H27" s="21">
        <v>0</v>
      </c>
      <c r="I27" s="21">
        <f>=PARAM!$C$27/2-1</f>
        <v>1</v>
      </c>
      <c r="J27" s="21">
        <v>0</v>
      </c>
      <c r="K27" s="21">
        <f>=((PARAM!$C$14/2-PARAM!$H$27-PARAM!$G$27/2)/(PARAM!$F$27/2-1))</f>
        <v>55</v>
      </c>
      <c r="L27" s="21">
        <f>=PARAM!$F$27/2-1</f>
        <v>1</v>
      </c>
    </row>
    <row r="28" spans="2:12" x14ac:dyDescent="0.25">
      <c r="B28" s="20" t="s">
        <v>159</v>
      </c>
      <c r="C28" s="21" t="s">
        <v>149</v>
      </c>
      <c r="D28" s="21">
        <f>=(PARAM!$D$27/2)</f>
        <v>35</v>
      </c>
      <c r="E28" s="21">
        <f>=-(PARAM!$G$27/2)</f>
        <v>-50</v>
      </c>
      <c r="F28" s="21" t="s">
        <v>124</v>
      </c>
      <c r="G28" s="21">
        <f>=((PARAM!$D$14/2-PARAM!$E$27-PARAM!$D$27/2)/(PARAM!$C$27/2-1))</f>
        <v>75</v>
      </c>
      <c r="H28" s="21">
        <v>0</v>
      </c>
      <c r="I28" s="21">
        <f>=PARAM!$C$27/2-1</f>
        <v>1</v>
      </c>
      <c r="J28" s="21">
        <v>0</v>
      </c>
      <c r="K28" s="21">
        <f>=-((PARAM!$C$14/2-PARAM!$H$27-PARAM!$G$27/2)/(PARAM!$F$27/2-1))</f>
        <v>-55</v>
      </c>
      <c r="L28" s="21">
        <f>=PARAM!$F$27/2-1</f>
        <v>1</v>
      </c>
    </row>
    <row r="29" spans="2:12" x14ac:dyDescent="0.25">
      <c r="B29" s="20" t="s">
        <v>159</v>
      </c>
      <c r="C29" s="21" t="s">
        <v>149</v>
      </c>
      <c r="D29" s="21">
        <f>=-(PARAM!$D$27/2)</f>
        <v>-35</v>
      </c>
      <c r="E29" s="21">
        <f>=(PARAM!$G$27/2)</f>
        <v>50</v>
      </c>
      <c r="F29" s="21" t="s">
        <v>124</v>
      </c>
      <c r="G29" s="21">
        <f>=-((PARAM!$D$14/2-PARAM!$E$27-PARAM!$D$27/2)/(PARAM!$C$27/2-1))</f>
        <v>-75</v>
      </c>
      <c r="H29" s="21">
        <v>0</v>
      </c>
      <c r="I29" s="21">
        <f>=PARAM!$C$27/2-1</f>
        <v>1</v>
      </c>
      <c r="J29" s="21">
        <v>0</v>
      </c>
      <c r="K29" s="21">
        <f>=((PARAM!$C$14/2-PARAM!$H$27-PARAM!$G$27/2)/(PARAM!$F$27/2-1))</f>
        <v>55</v>
      </c>
      <c r="L29" s="21">
        <f>=PARAM!$F$27/2-1</f>
        <v>1</v>
      </c>
    </row>
    <row r="30" spans="2:12" x14ac:dyDescent="0.25">
      <c r="B30" s="20" t="s">
        <v>159</v>
      </c>
      <c r="C30" s="21" t="s">
        <v>149</v>
      </c>
      <c r="D30" s="21">
        <f>=-(PARAM!$D$27/2)</f>
        <v>-35</v>
      </c>
      <c r="E30" s="21">
        <f>=-(PARAM!$G$27/2)</f>
        <v>-50</v>
      </c>
      <c r="F30" s="21" t="s">
        <v>124</v>
      </c>
      <c r="G30" s="21">
        <f>=-((PARAM!$D$14/2-PARAM!$E$27-PARAM!$D$27/2)/(PARAM!$C$27/2-1))</f>
        <v>-75</v>
      </c>
      <c r="H30" s="21">
        <v>0</v>
      </c>
      <c r="I30" s="21">
        <f>=PARAM!$C$27/2-1</f>
        <v>1</v>
      </c>
      <c r="J30" s="21">
        <v>0</v>
      </c>
      <c r="K30" s="21">
        <f>=-((PARAM!$C$14/2-PARAM!$H$27-PARAM!$G$27/2)/(PARAM!$F$27/2-1))</f>
        <v>-55</v>
      </c>
      <c r="L30" s="21">
        <f>=PARAM!$F$27/2-1</f>
        <v>1</v>
      </c>
    </row>
    <row r="31" spans="1:12" x14ac:dyDescent="0.25">
      <c r="A31" s="16" t="s">
        <v>161</v>
      </c>
      <c r="B31" s="20" t="s">
        <v>159</v>
      </c>
      <c r="C31" s="21" t="s">
        <v>143</v>
      </c>
      <c r="D31" s="21">
        <f>=(PARAM!$D$27/2)</f>
        <v>35</v>
      </c>
      <c r="E31" s="21">
        <f>=-((PARAM!$C$14/2-PARAM!$H$27-PARAM!$G$27/2)/(PARAM!$F$27/2-1))/2</f>
        <v>-27.5</v>
      </c>
      <c r="F31" s="21" t="s">
        <v>124</v>
      </c>
      <c r="G31" s="21">
        <f>=((PARAM!$D$14/2-PARAM!$E$27-PARAM!$D$27/2)/(PARAM!$C$27/2-1))</f>
        <v>75</v>
      </c>
      <c r="H31" s="21">
        <v>0</v>
      </c>
      <c r="I31" s="21">
        <f>=PARAM!$C$27/2-1</f>
        <v>1</v>
      </c>
      <c r="J31" s="21">
        <v>0</v>
      </c>
      <c r="K31" s="21">
        <f>=(PARAM!$C$14/2-PARAM!$H$27-PARAM!$G$27/2)/(PARAM!$F$27/2-1)</f>
        <v>55</v>
      </c>
      <c r="L31" s="21">
        <v>1</v>
      </c>
    </row>
    <row r="32" spans="2:12" x14ac:dyDescent="0.25">
      <c r="B32" s="20" t="s">
        <v>159</v>
      </c>
      <c r="C32" s="21" t="s">
        <v>143</v>
      </c>
      <c r="D32" s="21">
        <f>=-(PARAM!$D$27/2)</f>
        <v>-35</v>
      </c>
      <c r="E32" s="21">
        <f>=-((PARAM!$C$14/2-PARAM!$H$27-PARAM!$G$27/2)/(PARAM!$F$27/2-1))/2</f>
        <v>-27.5</v>
      </c>
      <c r="F32" s="21" t="s">
        <v>124</v>
      </c>
      <c r="G32" s="21">
        <f>=-((PARAM!$D$14/2-PARAM!$E$27-PARAM!$D$27/2)/(PARAM!$C$27/2-1))</f>
        <v>-75</v>
      </c>
      <c r="H32" s="21">
        <v>0</v>
      </c>
      <c r="I32" s="21">
        <f>=PARAM!$C$27/2-1</f>
        <v>1</v>
      </c>
      <c r="J32" s="21">
        <v>0</v>
      </c>
      <c r="K32" s="21">
        <f>=(PARAM!$C$14/2-PARAM!$H$27-PARAM!$G$27/2)/(PARAM!$F$27/2-1)</f>
        <v>55</v>
      </c>
      <c r="L32" s="21">
        <v>1</v>
      </c>
    </row>
    <row r="33" spans="1:12" x14ac:dyDescent="0.25">
      <c r="A33" s="16" t="s">
        <v>162</v>
      </c>
      <c r="B33" s="20" t="s">
        <v>159</v>
      </c>
      <c r="C33" s="21" t="s">
        <v>147</v>
      </c>
      <c r="D33" s="21">
        <f>=(PARAM!$D$27/2)</f>
        <v>35</v>
      </c>
      <c r="E33" s="21">
        <f>=-((PARAM!$C$14/2-PARAM!$H$27-PARAM!$G$27/2)/(PARAM!$F$27/2-1))/2</f>
        <v>-27.5</v>
      </c>
      <c r="F33" s="21" t="s">
        <v>124</v>
      </c>
      <c r="G33" s="21">
        <f>=((PARAM!$D$14/2-PARAM!$E$27-PARAM!$D$27/2)/(PARAM!$C$27/2-1))</f>
        <v>75</v>
      </c>
      <c r="H33" s="21">
        <v>0</v>
      </c>
      <c r="I33" s="21">
        <f>=PARAM!$C$27/2-1</f>
        <v>1</v>
      </c>
      <c r="J33" s="21">
        <v>0</v>
      </c>
      <c r="K33" s="21">
        <f>=(PARAM!$C$14/2-PARAM!$H$27-PARAM!$G$27/2)/(PARAM!$F$27/2-1)</f>
        <v>55</v>
      </c>
      <c r="L33" s="21">
        <v>1</v>
      </c>
    </row>
    <row r="34" spans="2:12" x14ac:dyDescent="0.25">
      <c r="B34" s="20" t="s">
        <v>159</v>
      </c>
      <c r="C34" s="21" t="s">
        <v>147</v>
      </c>
      <c r="D34" s="21">
        <f>=-(PARAM!$D$27/2)</f>
        <v>-35</v>
      </c>
      <c r="E34" s="21">
        <f>=-((PARAM!$C$14/2-PARAM!$H$27-PARAM!$G$27/2)/(PARAM!$F$27/2-1))/2</f>
        <v>-27.5</v>
      </c>
      <c r="F34" s="21" t="s">
        <v>124</v>
      </c>
      <c r="G34" s="21">
        <f>=-((PARAM!$D$14/2-PARAM!$E$27-PARAM!$D$27/2)/(PARAM!$C$27/2-1))</f>
        <v>-75</v>
      </c>
      <c r="H34" s="21">
        <v>0</v>
      </c>
      <c r="I34" s="21">
        <f>=PARAM!$C$27/2-1</f>
        <v>1</v>
      </c>
      <c r="J34" s="21">
        <v>0</v>
      </c>
      <c r="K34" s="21">
        <f>=(PARAM!$C$14/2-PARAM!$H$27-PARAM!$G$27/2)/(PARAM!$F$27/2-1)</f>
        <v>55</v>
      </c>
      <c r="L34" s="21">
        <v>1</v>
      </c>
    </row>
    <row r="35" spans="1:12" x14ac:dyDescent="0.25">
      <c r="A35" s="16" t="s">
        <v>163</v>
      </c>
      <c r="B35" s="20" t="s">
        <v>159</v>
      </c>
      <c r="C35" s="21" t="s">
        <v>132</v>
      </c>
      <c r="D35" s="21">
        <f>=PARAM!$C$7/2+PARAM!$J$6/2-PARAM!$D$27/2</f>
        <v>875</v>
      </c>
      <c r="E35" s="21">
        <f>=(PARAM!$G$27/2)</f>
        <v>50</v>
      </c>
      <c r="F35" s="21" t="s">
        <v>124</v>
      </c>
      <c r="G35" s="21">
        <f>=-((PARAM!$D$14/2-PARAM!$E$27-PARAM!$D$27/2)/(PARAM!$C$27/2-1))</f>
        <v>-75</v>
      </c>
      <c r="H35" s="21">
        <v>0</v>
      </c>
      <c r="I35" s="21">
        <f>=PARAM!$C$27/2-1</f>
        <v>1</v>
      </c>
      <c r="J35" s="21">
        <v>0</v>
      </c>
      <c r="K35" s="21">
        <f>=((PARAM!$C$14/2-PARAM!$H$27-PARAM!$G$27/2)/(PARAM!$F$27/2-1))</f>
        <v>55</v>
      </c>
      <c r="L35" s="21">
        <f>=PARAM!$F$27/2-1</f>
        <v>1</v>
      </c>
    </row>
    <row r="36" spans="2:12" x14ac:dyDescent="0.25">
      <c r="B36" s="20" t="s">
        <v>159</v>
      </c>
      <c r="C36" s="21" t="s">
        <v>132</v>
      </c>
      <c r="D36" s="21">
        <f>=PARAM!$C$7/2+PARAM!$J$6/2-PARAM!$D$27/2</f>
        <v>875</v>
      </c>
      <c r="E36" s="21">
        <f>=-(PARAM!$G$27/2)</f>
        <v>-50</v>
      </c>
      <c r="F36" s="21" t="s">
        <v>124</v>
      </c>
      <c r="G36" s="21">
        <f>=-((PARAM!$D$14/2-PARAM!$E$27-PARAM!$D$27/2)/(PARAM!$C$27/2-1))</f>
        <v>-75</v>
      </c>
      <c r="H36" s="21">
        <v>0</v>
      </c>
      <c r="I36" s="21">
        <f>=PARAM!$C$27/2-1</f>
        <v>1</v>
      </c>
      <c r="J36" s="21">
        <v>0</v>
      </c>
      <c r="K36" s="21">
        <f>=-((PARAM!$C$14/2-PARAM!$H$27-PARAM!$G$27/2)/(PARAM!$F$27/2-1))</f>
        <v>-55</v>
      </c>
      <c r="L36" s="21">
        <f>=PARAM!$F$27/2-1</f>
        <v>1</v>
      </c>
    </row>
    <row r="37" spans="1:12" x14ac:dyDescent="0.25">
      <c r="A37" s="16" t="s">
        <v>164</v>
      </c>
      <c r="B37" s="20" t="s">
        <v>159</v>
      </c>
      <c r="C37" s="21" t="s">
        <v>135</v>
      </c>
      <c r="D37" s="21">
        <f>=PARAM!$C$7/2+PARAM!$J$6/2-PARAM!$D$27/2</f>
        <v>875</v>
      </c>
      <c r="E37" s="21">
        <f>=(PARAM!$G$27/2)</f>
        <v>50</v>
      </c>
      <c r="F37" s="21" t="s">
        <v>124</v>
      </c>
      <c r="G37" s="21">
        <f>=-((PARAM!$D$14/2-PARAM!$E$27-PARAM!$D$27/2)/(PARAM!$C$27/2-1))</f>
        <v>-75</v>
      </c>
      <c r="H37" s="21">
        <v>0</v>
      </c>
      <c r="I37" s="21">
        <f>=PARAM!$C$27/2-1</f>
        <v>1</v>
      </c>
      <c r="J37" s="21">
        <v>0</v>
      </c>
      <c r="K37" s="21">
        <f>=((PARAM!$C$14/2-PARAM!$H$27-PARAM!$G$27/2)/(PARAM!$F$27/2-1))</f>
        <v>55</v>
      </c>
      <c r="L37" s="21">
        <f>=PARAM!$F$27/2-1</f>
        <v>1</v>
      </c>
    </row>
    <row r="38" spans="2:12" x14ac:dyDescent="0.25">
      <c r="B38" s="20" t="s">
        <v>159</v>
      </c>
      <c r="C38" s="21" t="s">
        <v>135</v>
      </c>
      <c r="D38" s="21">
        <f>=PARAM!$C$7/2+PARAM!$J$6/2-PARAM!$D$27/2</f>
        <v>875</v>
      </c>
      <c r="E38" s="21">
        <f>=-(PARAM!$G$27/2)</f>
        <v>-50</v>
      </c>
      <c r="F38" s="21" t="s">
        <v>124</v>
      </c>
      <c r="G38" s="21">
        <f>=-((PARAM!$D$14/2-PARAM!$E$27-PARAM!$D$27/2)/(PARAM!$C$27/2-1))</f>
        <v>-75</v>
      </c>
      <c r="H38" s="21">
        <v>0</v>
      </c>
      <c r="I38" s="21">
        <f>=PARAM!$C$27/2-1</f>
        <v>1</v>
      </c>
      <c r="J38" s="21">
        <v>0</v>
      </c>
      <c r="K38" s="21">
        <f>=-((PARAM!$C$14/2-PARAM!$H$27-PARAM!$G$27/2)/(PARAM!$F$27/2-1))</f>
        <v>-55</v>
      </c>
      <c r="L38" s="21">
        <f>=PARAM!$F$27/2-1</f>
        <v>1</v>
      </c>
    </row>
    <row r="39" spans="1:12" x14ac:dyDescent="0.25">
      <c r="A39" s="16" t="s">
        <v>165</v>
      </c>
      <c r="B39" s="20" t="s">
        <v>159</v>
      </c>
      <c r="C39" s="21" t="s">
        <v>145</v>
      </c>
      <c r="D39" s="21">
        <f>=(PARAM!$D$28/2)</f>
        <v>30</v>
      </c>
      <c r="E39" s="21">
        <f>=-(PARAM!$C$16/2-PARAM!$H$28)</f>
        <v>-70</v>
      </c>
      <c r="F39" s="21" t="s">
        <v>124</v>
      </c>
      <c r="G39" s="21">
        <f>=((PARAM!$D$16/2-PARAM!$E$28-PARAM!$D$28/2)/(PARAM!$C$28/2-1))</f>
        <v>70</v>
      </c>
      <c r="H39" s="21">
        <v>0</v>
      </c>
      <c r="I39" s="21">
        <f>=PARAM!$C$28/2-1</f>
        <v>1</v>
      </c>
      <c r="J39" s="21">
        <v>0</v>
      </c>
      <c r="K39" s="21">
        <f>=(PARAM!$C$16-2*PARAM!$H$28-PARAM!$G$28)/(PARAM!$F$28-1)</f>
        <v>70</v>
      </c>
      <c r="L39" s="21">
        <f>=PARAM!$F$28-1</f>
        <v>2</v>
      </c>
    </row>
    <row r="40" spans="2:12" x14ac:dyDescent="0.25">
      <c r="B40" s="20" t="s">
        <v>159</v>
      </c>
      <c r="C40" s="21" t="s">
        <v>145</v>
      </c>
      <c r="D40" s="21">
        <f>=-(PARAM!$D$28/2)</f>
        <v>-30</v>
      </c>
      <c r="E40" s="21">
        <f>=-(PARAM!$C$16/2-PARAM!$H$28)</f>
        <v>-70</v>
      </c>
      <c r="F40" s="21" t="s">
        <v>124</v>
      </c>
      <c r="G40" s="21">
        <f>=-((PARAM!$D$16/2-PARAM!$E$28-PARAM!$D$28/2)/(PARAM!$C$28/2-1))</f>
        <v>-70</v>
      </c>
      <c r="H40" s="21">
        <v>0</v>
      </c>
      <c r="I40" s="21">
        <f>=PARAM!$C$28/2-1</f>
        <v>1</v>
      </c>
      <c r="J40" s="21">
        <v>0</v>
      </c>
      <c r="K40" s="21">
        <f>=(PARAM!$C$16-2*PARAM!$H$28-PARAM!$G$28)/(PARAM!$F$28-1)</f>
        <v>70</v>
      </c>
      <c r="L40" s="21">
        <f>=PARAM!$F$28-1</f>
        <v>2</v>
      </c>
    </row>
    <row r="41" spans="1:6" x14ac:dyDescent="0.25">
      <c r="A41" s="16" t="s">
        <v>166</v>
      </c>
      <c r="B41" s="20" t="s">
        <v>159</v>
      </c>
      <c r="C41" s="21" t="s">
        <v>139</v>
      </c>
      <c r="D41" s="21">
        <f>=PARAM!$H$6/2</f>
        <v>9</v>
      </c>
      <c r="E41" s="21">
        <f>=-PARAM!$H$6/2</f>
        <v>-9</v>
      </c>
      <c r="F41" s="21" t="s">
        <v>128</v>
      </c>
    </row>
    <row r="42" spans="1:12" x14ac:dyDescent="0.25">
      <c r="A42" s="16" t="s">
        <v>167</v>
      </c>
      <c r="B42" s="20" t="s">
        <v>159</v>
      </c>
      <c r="C42" s="21" t="s">
        <v>137</v>
      </c>
      <c r="D42" s="21">
        <f>=PARAM!$C$7/2+PARAM!$J$6/2-PARAM!$D$28/2-((PARAM!$D$16/2-PARAM!$E$28-PARAM!$D$28/2)/(PARAM!$C$28/2-1))*(PARAM!$C$28/2-1)</f>
        <v>810</v>
      </c>
      <c r="E42" s="21">
        <f>=-(PARAM!$C$16/2-PARAM!$H$28)</f>
        <v>-70</v>
      </c>
      <c r="F42" s="21" t="s">
        <v>124</v>
      </c>
      <c r="G42" s="21">
        <f>=(PARAM!$D$16/2-PARAM!$E$28-PARAM!$D$28/2)/(PARAM!$C$28/2-1)</f>
        <v>70</v>
      </c>
      <c r="H42" s="21">
        <v>0</v>
      </c>
      <c r="I42" s="21">
        <f>=PARAM!$C$28/2-1</f>
        <v>1</v>
      </c>
      <c r="J42" s="21">
        <v>0</v>
      </c>
      <c r="K42" s="21">
        <f>=(PARAM!$C$16-2*PARAM!$H$28-PARAM!$G$28)/(PARAM!$F$28-1)</f>
        <v>70</v>
      </c>
      <c r="L42" s="21">
        <f>=PARAM!$F$28-1</f>
        <v>2</v>
      </c>
    </row>
    <row r="43" spans="1:1" x14ac:dyDescent="0.25">
      <c r="A43" s="16" t="s">
        <v>69</v>
      </c>
    </row>
    <row r="44" spans="1:1" x14ac:dyDescent="0.25">
      <c r="A44" s="16" t="s">
        <v>168</v>
      </c>
    </row>
    <row r="45" spans="1:1" x14ac:dyDescent="0.25">
      <c r="A45" s="16" t="s">
        <v>169</v>
      </c>
    </row>
    <row r="46" spans="1:12" x14ac:dyDescent="0.25">
      <c r="A46" s="16" t="s">
        <v>170</v>
      </c>
      <c r="B46" s="20" t="s">
        <v>171</v>
      </c>
      <c r="C46" s="21" t="s">
        <v>172</v>
      </c>
      <c r="D46" s="21" t="s">
        <v>132</v>
      </c>
      <c r="E46" s="21" t="s">
        <v>126</v>
      </c>
      <c r="F46" s="21">
        <f>=-(PARAM!$C$7/2+PARAM!$J$6/2)</f>
        <v>-910</v>
      </c>
      <c r="G46" s="21">
        <v>0</v>
      </c>
      <c r="H46" s="21">
        <f>=(PARAM!$D$6/2-PARAM!$G$6/2)</f>
        <v>142.5</v>
      </c>
      <c r="I46" s="21" t="s">
        <v>173</v>
      </c>
      <c r="J46" s="21"/>
      <c r="K46" s="21"/>
      <c r="L46" s="21"/>
    </row>
    <row r="47" spans="2:12" x14ac:dyDescent="0.25">
      <c r="B47" s="20" t="s">
        <v>171</v>
      </c>
      <c r="C47" s="21" t="s">
        <v>172</v>
      </c>
      <c r="D47" s="21" t="s">
        <v>135</v>
      </c>
      <c r="E47" s="21" t="s">
        <v>126</v>
      </c>
      <c r="F47" s="21">
        <f>=-(PARAM!$C$7/2+PARAM!$J$6/2)</f>
        <v>-910</v>
      </c>
      <c r="G47" s="21">
        <v>0</v>
      </c>
      <c r="H47" s="21">
        <f>=-(PARAM!$D$6/2-PARAM!$G$6/2)</f>
        <v>-142.5</v>
      </c>
      <c r="I47" s="21" t="s">
        <v>173</v>
      </c>
      <c r="J47" s="21"/>
      <c r="K47" s="21"/>
      <c r="L47" s="21"/>
    </row>
    <row r="48" spans="2:12" x14ac:dyDescent="0.25">
      <c r="B48" s="20" t="s">
        <v>171</v>
      </c>
      <c r="C48" s="21" t="s">
        <v>172</v>
      </c>
      <c r="D48" s="21" t="s">
        <v>137</v>
      </c>
      <c r="E48" s="21" t="s">
        <v>126</v>
      </c>
      <c r="F48" s="21">
        <f>=-(PARAM!$C$7/2+PARAM!$J$6/2)</f>
        <v>-910</v>
      </c>
      <c r="G48" s="21">
        <v>0</v>
      </c>
      <c r="H48" s="21">
        <v>0</v>
      </c>
      <c r="I48" s="21" t="s">
        <v>174</v>
      </c>
      <c r="J48" s="21"/>
      <c r="K48" s="21"/>
      <c r="L48" s="21"/>
    </row>
    <row r="49" spans="2:12" x14ac:dyDescent="0.25">
      <c r="B49" s="20" t="s">
        <v>171</v>
      </c>
      <c r="C49" s="21" t="s">
        <v>172</v>
      </c>
      <c r="D49" s="21" t="s">
        <v>139</v>
      </c>
      <c r="E49" s="21" t="s">
        <v>126</v>
      </c>
      <c r="F49" s="21">
        <f>=-(PARAM!$C$7/2+PARAM!$J$6/2)</f>
        <v>-910</v>
      </c>
      <c r="G49" s="21">
        <f>=PARAM!$F$6/2+PARAM!$H$6/2</f>
        <v>14</v>
      </c>
      <c r="H49" s="21">
        <f>=PARAM!$D$6/2-PARAM!$G$6-PARAM!$H$6/2</f>
        <v>126</v>
      </c>
      <c r="I49" s="21" t="s">
        <v>175</v>
      </c>
      <c r="J49" s="21">
        <v>0</v>
      </c>
      <c r="K49" s="21">
        <v>0</v>
      </c>
      <c r="L49" s="21">
        <v>0</v>
      </c>
    </row>
    <row r="50" spans="2:12" x14ac:dyDescent="0.25">
      <c r="B50" s="20" t="s">
        <v>171</v>
      </c>
      <c r="C50" s="21" t="s">
        <v>172</v>
      </c>
      <c r="D50" s="21" t="s">
        <v>139</v>
      </c>
      <c r="E50" s="21" t="s">
        <v>126</v>
      </c>
      <c r="F50" s="21">
        <f>=-(PARAM!$C$7/2+PARAM!$J$6/2)</f>
        <v>-910</v>
      </c>
      <c r="G50" s="21">
        <f>=-(PARAM!$F$6/2+PARAM!$H$6/2)</f>
        <v>-14</v>
      </c>
      <c r="H50" s="21">
        <f>=PARAM!$D$6/2-PARAM!$G$6-PARAM!$H$6/2</f>
        <v>126</v>
      </c>
      <c r="I50" s="21" t="s">
        <v>175</v>
      </c>
      <c r="J50" s="21">
        <v>270</v>
      </c>
      <c r="K50" s="21">
        <v>0</v>
      </c>
      <c r="L50" s="21">
        <v>0</v>
      </c>
    </row>
    <row r="51" spans="2:12" x14ac:dyDescent="0.25">
      <c r="B51" s="20" t="s">
        <v>171</v>
      </c>
      <c r="C51" s="21" t="s">
        <v>172</v>
      </c>
      <c r="D51" s="21" t="s">
        <v>139</v>
      </c>
      <c r="E51" s="21" t="s">
        <v>126</v>
      </c>
      <c r="F51" s="21">
        <f>=-(PARAM!$C$7/2+PARAM!$J$6/2)</f>
        <v>-910</v>
      </c>
      <c r="G51" s="21">
        <f>=PARAM!$F$6/2+PARAM!$H$6/2</f>
        <v>14</v>
      </c>
      <c r="H51" s="21">
        <f>=-(PARAM!$D$6/2-PARAM!$G$6-PARAM!$H$6/2)</f>
        <v>-126</v>
      </c>
      <c r="I51" s="21" t="s">
        <v>175</v>
      </c>
      <c r="J51" s="21">
        <v>90</v>
      </c>
      <c r="K51" s="21">
        <v>0</v>
      </c>
      <c r="L51" s="21">
        <v>0</v>
      </c>
    </row>
    <row r="52" spans="2:12" x14ac:dyDescent="0.25">
      <c r="B52" s="20" t="s">
        <v>171</v>
      </c>
      <c r="C52" s="21" t="s">
        <v>172</v>
      </c>
      <c r="D52" s="21" t="s">
        <v>139</v>
      </c>
      <c r="E52" s="21" t="s">
        <v>126</v>
      </c>
      <c r="F52" s="21">
        <f>=-(PARAM!$C$7/2+PARAM!$J$6/2)</f>
        <v>-910</v>
      </c>
      <c r="G52" s="21">
        <f>=-(PARAM!$F$6/2+PARAM!$H$6/2)</f>
        <v>-14</v>
      </c>
      <c r="H52" s="21">
        <f>=-(PARAM!$D$6/2-PARAM!$G$6-PARAM!$H$6/2)</f>
        <v>-126</v>
      </c>
      <c r="I52" s="21" t="s">
        <v>175</v>
      </c>
      <c r="J52" s="21">
        <v>180</v>
      </c>
      <c r="K52" s="21">
        <v>0</v>
      </c>
      <c r="L52" s="21">
        <v>0</v>
      </c>
    </row>
    <row r="53" spans="2:6" x14ac:dyDescent="0.25">
      <c r="B53" s="20" t="s">
        <v>171</v>
      </c>
      <c r="C53" s="21" t="s">
        <v>172</v>
      </c>
      <c r="D53" s="21" t="s">
        <v>176</v>
      </c>
      <c r="E53" s="21" t="s">
        <v>132</v>
      </c>
      <c r="F53" s="21" t="s">
        <v>126</v>
      </c>
    </row>
    <row r="54" spans="1:12" x14ac:dyDescent="0.25">
      <c r="A54" s="16" t="s">
        <v>177</v>
      </c>
      <c r="B54" s="20" t="s">
        <v>171</v>
      </c>
      <c r="C54" s="21" t="s">
        <v>178</v>
      </c>
      <c r="D54" s="21" t="s">
        <v>132</v>
      </c>
      <c r="E54" s="21" t="s">
        <v>126</v>
      </c>
      <c r="F54" s="21">
        <f>=PARAM!$C$7/2+PARAM!$J$6/2</f>
        <v>910</v>
      </c>
      <c r="G54" s="21">
        <v>0</v>
      </c>
      <c r="H54" s="21">
        <f>=(PARAM!$D$6/2-PARAM!$G$6/2)</f>
        <v>142.5</v>
      </c>
      <c r="I54" s="21" t="s">
        <v>173</v>
      </c>
      <c r="J54" s="21">
        <v>0</v>
      </c>
      <c r="K54" s="21">
        <v>0</v>
      </c>
      <c r="L54" s="21">
        <v>180</v>
      </c>
    </row>
    <row r="55" spans="2:12" x14ac:dyDescent="0.25">
      <c r="B55" s="20" t="s">
        <v>171</v>
      </c>
      <c r="C55" s="21" t="s">
        <v>178</v>
      </c>
      <c r="D55" s="21" t="s">
        <v>135</v>
      </c>
      <c r="E55" s="21" t="s">
        <v>126</v>
      </c>
      <c r="F55" s="21">
        <f>=PARAM!$C$7/2+PARAM!$J$6/2</f>
        <v>910</v>
      </c>
      <c r="G55" s="21">
        <v>0</v>
      </c>
      <c r="H55" s="21">
        <f>=-(PARAM!$D$6/2-PARAM!$G$6/2)</f>
        <v>-142.5</v>
      </c>
      <c r="I55" s="21" t="s">
        <v>173</v>
      </c>
      <c r="J55" s="21">
        <v>0</v>
      </c>
      <c r="K55" s="21">
        <v>0</v>
      </c>
      <c r="L55" s="21">
        <v>180</v>
      </c>
    </row>
    <row r="56" spans="2:12" x14ac:dyDescent="0.25">
      <c r="B56" s="20" t="s">
        <v>171</v>
      </c>
      <c r="C56" s="21" t="s">
        <v>178</v>
      </c>
      <c r="D56" s="21" t="s">
        <v>137</v>
      </c>
      <c r="E56" s="21" t="s">
        <v>126</v>
      </c>
      <c r="F56" s="21">
        <f>=PARAM!$C$7/2+PARAM!$J$6/2</f>
        <v>910</v>
      </c>
      <c r="G56" s="21">
        <v>0</v>
      </c>
      <c r="H56" s="21">
        <v>0</v>
      </c>
      <c r="I56" s="21" t="s">
        <v>174</v>
      </c>
      <c r="J56" s="21">
        <v>0</v>
      </c>
      <c r="K56" s="21">
        <v>180</v>
      </c>
      <c r="L56" s="21">
        <v>0</v>
      </c>
    </row>
    <row r="57" spans="2:12" x14ac:dyDescent="0.25">
      <c r="B57" s="20" t="s">
        <v>171</v>
      </c>
      <c r="C57" s="21" t="s">
        <v>178</v>
      </c>
      <c r="D57" s="21" t="s">
        <v>139</v>
      </c>
      <c r="E57" s="21" t="s">
        <v>126</v>
      </c>
      <c r="F57" s="21">
        <f>=PARAM!$C$7/2+PARAM!$J$6/2</f>
        <v>910</v>
      </c>
      <c r="G57" s="21">
        <f>=PARAM!$F$6/2+PARAM!$H$6/2</f>
        <v>14</v>
      </c>
      <c r="H57" s="21">
        <f>=PARAM!$D$6/2-PARAM!$G$6-PARAM!$H$6/2</f>
        <v>126</v>
      </c>
      <c r="I57" s="21" t="s">
        <v>175</v>
      </c>
      <c r="J57" s="21">
        <v>0</v>
      </c>
      <c r="K57" s="21">
        <v>0</v>
      </c>
      <c r="L57" s="21">
        <v>0</v>
      </c>
    </row>
    <row r="58" spans="2:12" x14ac:dyDescent="0.25">
      <c r="B58" s="20" t="s">
        <v>171</v>
      </c>
      <c r="C58" s="21" t="s">
        <v>178</v>
      </c>
      <c r="D58" s="21" t="s">
        <v>139</v>
      </c>
      <c r="E58" s="21" t="s">
        <v>126</v>
      </c>
      <c r="F58" s="21">
        <f>=PARAM!$C$7/2+PARAM!$J$6/2</f>
        <v>910</v>
      </c>
      <c r="G58" s="21">
        <f>=-(PARAM!$F$6/2+PARAM!$H$6/2)</f>
        <v>-14</v>
      </c>
      <c r="H58" s="21">
        <f>=PARAM!$D$6/2-PARAM!$G$6-PARAM!$H$6/2</f>
        <v>126</v>
      </c>
      <c r="I58" s="21" t="s">
        <v>175</v>
      </c>
      <c r="J58" s="21">
        <v>270</v>
      </c>
      <c r="K58" s="21">
        <v>0</v>
      </c>
      <c r="L58" s="21">
        <v>0</v>
      </c>
    </row>
    <row r="59" spans="2:12" x14ac:dyDescent="0.25">
      <c r="B59" s="20" t="s">
        <v>171</v>
      </c>
      <c r="C59" s="21" t="s">
        <v>178</v>
      </c>
      <c r="D59" s="21" t="s">
        <v>139</v>
      </c>
      <c r="E59" s="21" t="s">
        <v>126</v>
      </c>
      <c r="F59" s="21">
        <f>=PARAM!$C$7/2+PARAM!$J$6/2</f>
        <v>910</v>
      </c>
      <c r="G59" s="21">
        <f>=PARAM!$F$6/2+PARAM!$H$6/2</f>
        <v>14</v>
      </c>
      <c r="H59" s="21">
        <f>=-(PARAM!$D$6/2-PARAM!$G$6-PARAM!$H$6/2)</f>
        <v>-126</v>
      </c>
      <c r="I59" s="21" t="s">
        <v>175</v>
      </c>
      <c r="J59" s="21">
        <v>90</v>
      </c>
      <c r="K59" s="21">
        <v>0</v>
      </c>
      <c r="L59" s="21">
        <v>0</v>
      </c>
    </row>
    <row r="60" spans="2:12" x14ac:dyDescent="0.25">
      <c r="B60" s="20" t="s">
        <v>171</v>
      </c>
      <c r="C60" s="21" t="s">
        <v>178</v>
      </c>
      <c r="D60" s="21" t="s">
        <v>139</v>
      </c>
      <c r="E60" s="21" t="s">
        <v>126</v>
      </c>
      <c r="F60" s="21">
        <f>=PARAM!$C$7/2+PARAM!$J$6/2</f>
        <v>910</v>
      </c>
      <c r="G60" s="21">
        <f>=-(PARAM!$F$6/2+PARAM!$H$6/2)</f>
        <v>-14</v>
      </c>
      <c r="H60" s="21">
        <f>=-(PARAM!$D$6/2-PARAM!$G$6-PARAM!$H$6/2)</f>
        <v>-126</v>
      </c>
      <c r="I60" s="21" t="s">
        <v>175</v>
      </c>
      <c r="J60" s="21">
        <v>180</v>
      </c>
      <c r="K60" s="21">
        <v>0</v>
      </c>
      <c r="L60" s="21">
        <v>0</v>
      </c>
    </row>
    <row r="61" spans="2:6" x14ac:dyDescent="0.25">
      <c r="B61" s="20" t="s">
        <v>171</v>
      </c>
      <c r="C61" s="21" t="s">
        <v>178</v>
      </c>
      <c r="D61" s="21" t="s">
        <v>176</v>
      </c>
      <c r="E61" s="21" t="s">
        <v>132</v>
      </c>
      <c r="F61" s="21" t="s">
        <v>126</v>
      </c>
    </row>
    <row r="62" spans="1:12" x14ac:dyDescent="0.25">
      <c r="A62" s="16" t="s">
        <v>179</v>
      </c>
      <c r="B62" s="20" t="s">
        <v>171</v>
      </c>
      <c r="C62" s="21" t="s">
        <v>180</v>
      </c>
      <c r="D62" s="21" t="s">
        <v>141</v>
      </c>
      <c r="E62" s="21" t="s">
        <v>126</v>
      </c>
      <c r="F62" s="21">
        <v>0</v>
      </c>
      <c r="G62" s="21">
        <v>0</v>
      </c>
      <c r="H62" s="21">
        <f>=PARAM!$D$6/2+PARAM!$E$14/2</f>
        <v>156</v>
      </c>
      <c r="I62" s="21" t="s">
        <v>173</v>
      </c>
      <c r="J62" s="21"/>
      <c r="K62" s="21"/>
      <c r="L62" s="21"/>
    </row>
    <row r="63" spans="2:6" x14ac:dyDescent="0.25">
      <c r="B63" s="20" t="s">
        <v>171</v>
      </c>
      <c r="C63" s="21" t="s">
        <v>180</v>
      </c>
      <c r="D63" s="21" t="s">
        <v>176</v>
      </c>
      <c r="E63" s="21" t="s">
        <v>141</v>
      </c>
      <c r="F63" s="21" t="s">
        <v>126</v>
      </c>
    </row>
    <row r="64" spans="1:12" x14ac:dyDescent="0.25">
      <c r="A64" s="16" t="s">
        <v>181</v>
      </c>
      <c r="B64" s="20" t="s">
        <v>171</v>
      </c>
      <c r="C64" s="21" t="s">
        <v>182</v>
      </c>
      <c r="D64" s="21" t="s">
        <v>143</v>
      </c>
      <c r="E64" s="21" t="s">
        <v>126</v>
      </c>
      <c r="F64" s="21">
        <v>0</v>
      </c>
      <c r="G64" s="21">
        <f>=PARAM!$G$27/2+((PARAM!$C$14/2-PARAM!$H$27-PARAM!$G$27/2)/(PARAM!$F$27/2-1))/2</f>
        <v>77.5</v>
      </c>
      <c r="H64" s="21">
        <f>=PARAM!$D$6/2-PARAM!$G$6-PARAM!$E$15/2</f>
        <v>130</v>
      </c>
      <c r="I64" s="21" t="s">
        <v>173</v>
      </c>
      <c r="J64" s="21"/>
      <c r="K64" s="21"/>
      <c r="L64" s="21"/>
    </row>
    <row r="65" spans="2:12" x14ac:dyDescent="0.25">
      <c r="B65" s="20" t="s">
        <v>171</v>
      </c>
      <c r="C65" s="21" t="s">
        <v>182</v>
      </c>
      <c r="D65" s="21" t="s">
        <v>143</v>
      </c>
      <c r="E65" s="21" t="s">
        <v>126</v>
      </c>
      <c r="F65" s="21">
        <v>0</v>
      </c>
      <c r="G65" s="21">
        <f>=-(PARAM!$G$27/2+((PARAM!$C$14/2-PARAM!$H$27-PARAM!$G$27/2)/(PARAM!$F$27/2-1))/2)</f>
        <v>-77.5</v>
      </c>
      <c r="H65" s="21">
        <f>=PARAM!$D$6/2-PARAM!$G$6-PARAM!$E$15/2</f>
        <v>130</v>
      </c>
      <c r="I65" s="21" t="s">
        <v>173</v>
      </c>
      <c r="J65" s="21"/>
      <c r="K65" s="21"/>
      <c r="L65" s="21"/>
    </row>
    <row r="66" spans="2:6" x14ac:dyDescent="0.25">
      <c r="B66" s="20" t="s">
        <v>171</v>
      </c>
      <c r="C66" s="21" t="s">
        <v>182</v>
      </c>
      <c r="D66" s="21" t="s">
        <v>176</v>
      </c>
      <c r="E66" s="21" t="s">
        <v>183</v>
      </c>
      <c r="F66" s="21" t="s">
        <v>126</v>
      </c>
    </row>
    <row r="67" spans="1:12" x14ac:dyDescent="0.25">
      <c r="A67" s="16" t="s">
        <v>184</v>
      </c>
      <c r="B67" s="20" t="s">
        <v>171</v>
      </c>
      <c r="C67" s="21" t="s">
        <v>185</v>
      </c>
      <c r="D67" s="21" t="s">
        <v>149</v>
      </c>
      <c r="E67" s="21" t="s">
        <v>126</v>
      </c>
      <c r="F67" s="21">
        <v>0</v>
      </c>
      <c r="G67" s="21">
        <v>0</v>
      </c>
      <c r="H67" s="21">
        <f>=-(PARAM!$D$6/2+PARAM!$E$14/2)</f>
        <v>-156</v>
      </c>
      <c r="I67" s="21" t="s">
        <v>173</v>
      </c>
      <c r="J67" s="21"/>
      <c r="K67" s="21"/>
      <c r="L67" s="21"/>
    </row>
    <row r="68" spans="2:6" x14ac:dyDescent="0.25">
      <c r="B68" s="20" t="s">
        <v>171</v>
      </c>
      <c r="C68" s="21" t="s">
        <v>185</v>
      </c>
      <c r="D68" s="21" t="s">
        <v>176</v>
      </c>
      <c r="E68" s="21" t="s">
        <v>149</v>
      </c>
      <c r="F68" s="21" t="s">
        <v>126</v>
      </c>
    </row>
    <row r="69" spans="1:12" x14ac:dyDescent="0.25">
      <c r="A69" s="16" t="s">
        <v>186</v>
      </c>
      <c r="B69" s="20" t="s">
        <v>171</v>
      </c>
      <c r="C69" s="21" t="s">
        <v>187</v>
      </c>
      <c r="D69" s="21" t="s">
        <v>147</v>
      </c>
      <c r="E69" s="21" t="s">
        <v>126</v>
      </c>
      <c r="F69" s="21">
        <v>0</v>
      </c>
      <c r="G69" s="21">
        <f>=PARAM!$G$27/2+((PARAM!$C$14/2-PARAM!$H$27-PARAM!$G$27/2)/(PARAM!$F$27/2-1))/2</f>
        <v>77.5</v>
      </c>
      <c r="H69" s="21">
        <f>=-(PARAM!$D$6/2-PARAM!$G$6-PARAM!$E$15/2)</f>
        <v>-130</v>
      </c>
      <c r="I69" s="21" t="s">
        <v>173</v>
      </c>
      <c r="J69" s="21"/>
      <c r="K69" s="21"/>
      <c r="L69" s="21"/>
    </row>
    <row r="70" spans="2:12" x14ac:dyDescent="0.25">
      <c r="B70" s="20" t="s">
        <v>171</v>
      </c>
      <c r="C70" s="21" t="s">
        <v>187</v>
      </c>
      <c r="D70" s="21" t="s">
        <v>147</v>
      </c>
      <c r="E70" s="21" t="s">
        <v>126</v>
      </c>
      <c r="F70" s="21">
        <v>0</v>
      </c>
      <c r="G70" s="21">
        <f>=-(PARAM!$G$27/2+((PARAM!$C$14/2-PARAM!$H$27-PARAM!$G$27/2)/(PARAM!$F$27/2-1))/2)</f>
        <v>-77.5</v>
      </c>
      <c r="H70" s="21">
        <f>=-(PARAM!$D$6/2-PARAM!$G$6-PARAM!$E$15/2)</f>
        <v>-130</v>
      </c>
      <c r="I70" s="21" t="s">
        <v>173</v>
      </c>
      <c r="J70" s="21"/>
      <c r="K70" s="21"/>
      <c r="L70" s="21"/>
    </row>
    <row r="71" spans="2:6" x14ac:dyDescent="0.25">
      <c r="B71" s="20" t="s">
        <v>171</v>
      </c>
      <c r="C71" s="21" t="s">
        <v>187</v>
      </c>
      <c r="D71" s="21" t="s">
        <v>176</v>
      </c>
      <c r="E71" s="21" t="s">
        <v>188</v>
      </c>
      <c r="F71" s="21" t="s">
        <v>126</v>
      </c>
    </row>
    <row r="72" spans="1:12" x14ac:dyDescent="0.25">
      <c r="A72" s="16" t="s">
        <v>189</v>
      </c>
      <c r="B72" s="20" t="s">
        <v>171</v>
      </c>
      <c r="C72" s="21" t="s">
        <v>190</v>
      </c>
      <c r="D72" s="21" t="s">
        <v>145</v>
      </c>
      <c r="E72" s="21" t="s">
        <v>126</v>
      </c>
      <c r="F72" s="21">
        <v>0</v>
      </c>
      <c r="G72" s="21">
        <f>=PARAM!$F$6/2+PARAM!$E$16/2</f>
        <v>10</v>
      </c>
      <c r="H72" s="21">
        <v>0</v>
      </c>
      <c r="I72" s="21" t="s">
        <v>174</v>
      </c>
      <c r="J72" s="21"/>
      <c r="K72" s="21"/>
      <c r="L72" s="21"/>
    </row>
    <row r="73" spans="2:12" x14ac:dyDescent="0.25">
      <c r="B73" s="20" t="s">
        <v>171</v>
      </c>
      <c r="C73" s="21" t="s">
        <v>190</v>
      </c>
      <c r="D73" s="21" t="s">
        <v>145</v>
      </c>
      <c r="E73" s="21" t="s">
        <v>126</v>
      </c>
      <c r="F73" s="21">
        <v>0</v>
      </c>
      <c r="G73" s="21">
        <f>=-(PARAM!$F$6/2+PARAM!$E$16/2)</f>
        <v>-10</v>
      </c>
      <c r="H73" s="21">
        <v>0</v>
      </c>
      <c r="I73" s="21" t="s">
        <v>174</v>
      </c>
      <c r="J73" s="21"/>
      <c r="K73" s="21"/>
      <c r="L73" s="21"/>
    </row>
    <row r="74" spans="2:6" x14ac:dyDescent="0.25">
      <c r="B74" s="20" t="s">
        <v>171</v>
      </c>
      <c r="C74" s="21" t="s">
        <v>190</v>
      </c>
      <c r="D74" s="21" t="s">
        <v>176</v>
      </c>
      <c r="E74" s="21" t="s">
        <v>191</v>
      </c>
      <c r="F74" s="21" t="s">
        <v>126</v>
      </c>
    </row>
    <row r="75" spans="1:1" x14ac:dyDescent="0.25">
      <c r="A75" s="16" t="s">
        <v>69</v>
      </c>
    </row>
    <row r="76" spans="1:1" x14ac:dyDescent="0.25">
      <c r="A76" s="16" t="s">
        <v>192</v>
      </c>
    </row>
    <row r="77" spans="1:20" x14ac:dyDescent="0.25">
      <c r="A77" s="16" t="s">
        <v>193</v>
      </c>
      <c r="B77" s="20" t="s">
        <v>171</v>
      </c>
      <c r="C77" s="21" t="s">
        <v>194</v>
      </c>
      <c r="D77" s="21" t="s">
        <v>153</v>
      </c>
      <c r="E77" s="21"/>
      <c r="F77" s="21">
        <f>=(PARAM!$D$27/2)</f>
        <v>35</v>
      </c>
      <c r="G77" s="21">
        <f>=(PARAM!$G$27/2)</f>
        <v>50</v>
      </c>
      <c r="H77" s="21">
        <f>=(PARAM!$D$6/2+PARAM!$E$14+PARAM!$D$6/2-PARAM!$G$6-PARAM!$E$15)/2-PARAM!$F$24/2</f>
        <v>110</v>
      </c>
      <c r="I77" s="21" t="s">
        <v>173</v>
      </c>
      <c r="J77" s="21">
        <v>0</v>
      </c>
      <c r="K77" s="21">
        <v>0</v>
      </c>
      <c r="L77" s="21">
        <v>0</v>
      </c>
      <c r="M77" s="21">
        <f>=((PARAM!$D$14/2-PARAM!$E$27-PARAM!$D$27/2)/(PARAM!$C$27/2-1))</f>
        <v>75</v>
      </c>
      <c r="N77" s="21">
        <v>0</v>
      </c>
      <c r="O77" s="21">
        <v>0</v>
      </c>
      <c r="P77" s="21">
        <f>=PARAM!$C$27/2-1</f>
        <v>1</v>
      </c>
      <c r="Q77" s="21">
        <v>0</v>
      </c>
      <c r="R77" s="21">
        <f>=((PARAM!$C$14/2-PARAM!$H$27-PARAM!$G$27/2)/(PARAM!$F$27/2-1))</f>
        <v>55</v>
      </c>
      <c r="S77" s="21">
        <v>0</v>
      </c>
      <c r="T77" s="21">
        <f>=PARAM!$F$27/2-1</f>
        <v>1</v>
      </c>
    </row>
    <row r="78" spans="2:20" x14ac:dyDescent="0.25">
      <c r="B78" s="20" t="s">
        <v>171</v>
      </c>
      <c r="C78" s="21" t="s">
        <v>194</v>
      </c>
      <c r="D78" s="21" t="s">
        <v>153</v>
      </c>
      <c r="E78" s="21"/>
      <c r="F78" s="21">
        <f>=(PARAM!$D$27/2)</f>
        <v>35</v>
      </c>
      <c r="G78" s="21">
        <f>=-(PARAM!$G$27/2)</f>
        <v>-50</v>
      </c>
      <c r="H78" s="21">
        <f>=(PARAM!$D$6/2+PARAM!$E$14+PARAM!$D$6/2-PARAM!$G$6-PARAM!$E$15)/2-PARAM!$F$24/2</f>
        <v>110</v>
      </c>
      <c r="I78" s="21" t="s">
        <v>173</v>
      </c>
      <c r="J78" s="21">
        <v>0</v>
      </c>
      <c r="K78" s="21">
        <v>0</v>
      </c>
      <c r="L78" s="21">
        <v>0</v>
      </c>
      <c r="M78" s="21">
        <f>=((PARAM!$D$14/2-PARAM!$E$27-PARAM!$D$27/2)/(PARAM!$C$27/2-1))</f>
        <v>75</v>
      </c>
      <c r="N78" s="21">
        <v>0</v>
      </c>
      <c r="O78" s="21">
        <v>0</v>
      </c>
      <c r="P78" s="21">
        <f>=PARAM!$C$27/2-1</f>
        <v>1</v>
      </c>
      <c r="Q78" s="21">
        <v>0</v>
      </c>
      <c r="R78" s="21">
        <f>=-((PARAM!$C$14/2-PARAM!$H$27-PARAM!$G$27/2)/(PARAM!$F$27/2-1))</f>
        <v>-55</v>
      </c>
      <c r="S78" s="21">
        <v>0</v>
      </c>
      <c r="T78" s="21">
        <f>=PARAM!$F$27/2-1</f>
        <v>1</v>
      </c>
    </row>
    <row r="79" spans="2:20" x14ac:dyDescent="0.25">
      <c r="B79" s="20" t="s">
        <v>171</v>
      </c>
      <c r="C79" s="21" t="s">
        <v>194</v>
      </c>
      <c r="D79" s="21" t="s">
        <v>153</v>
      </c>
      <c r="E79" s="21"/>
      <c r="F79" s="21">
        <f>=-(PARAM!$D$27/2)</f>
        <v>-35</v>
      </c>
      <c r="G79" s="21">
        <f>=(PARAM!$G$27/2)</f>
        <v>50</v>
      </c>
      <c r="H79" s="21">
        <f>=(PARAM!$D$6/2+PARAM!$E$14+PARAM!$D$6/2-PARAM!$G$6-PARAM!$E$15)/2-PARAM!$F$24/2</f>
        <v>110</v>
      </c>
      <c r="I79" s="21" t="s">
        <v>173</v>
      </c>
      <c r="J79" s="21">
        <v>0</v>
      </c>
      <c r="K79" s="21">
        <v>0</v>
      </c>
      <c r="L79" s="21">
        <v>0</v>
      </c>
      <c r="M79" s="21">
        <f>=-((PARAM!$D$14/2-PARAM!$E$27-PARAM!$D$27/2)/(PARAM!$C$27/2-1))</f>
        <v>-75</v>
      </c>
      <c r="N79" s="21">
        <v>0</v>
      </c>
      <c r="O79" s="21">
        <v>0</v>
      </c>
      <c r="P79" s="21">
        <f>=PARAM!$C$27/2-1</f>
        <v>1</v>
      </c>
      <c r="Q79" s="21">
        <v>0</v>
      </c>
      <c r="R79" s="21">
        <f>=((PARAM!$C$14/2-PARAM!$H$27-PARAM!$G$27/2)/(PARAM!$F$27/2-1))</f>
        <v>55</v>
      </c>
      <c r="S79" s="21">
        <v>0</v>
      </c>
      <c r="T79" s="21">
        <f>=PARAM!$F$27/2-1</f>
        <v>1</v>
      </c>
    </row>
    <row r="80" spans="2:20" x14ac:dyDescent="0.25">
      <c r="B80" s="20" t="s">
        <v>171</v>
      </c>
      <c r="C80" s="21" t="s">
        <v>194</v>
      </c>
      <c r="D80" s="21" t="s">
        <v>153</v>
      </c>
      <c r="E80" s="21"/>
      <c r="F80" s="21">
        <f>=-(PARAM!$D$27/2)</f>
        <v>-35</v>
      </c>
      <c r="G80" s="21">
        <f>=-(PARAM!$G$27/2)</f>
        <v>-50</v>
      </c>
      <c r="H80" s="21">
        <f>=(PARAM!$D$6/2+PARAM!$E$14+PARAM!$D$6/2-PARAM!$G$6-PARAM!$E$15)/2-PARAM!$F$24/2</f>
        <v>110</v>
      </c>
      <c r="I80" s="21" t="s">
        <v>173</v>
      </c>
      <c r="J80" s="21">
        <v>0</v>
      </c>
      <c r="K80" s="21">
        <v>0</v>
      </c>
      <c r="L80" s="21">
        <v>0</v>
      </c>
      <c r="M80" s="21">
        <f>=-((PARAM!$D$14/2-PARAM!$E$27-PARAM!$D$27/2)/(PARAM!$C$27/2-1))</f>
        <v>-75</v>
      </c>
      <c r="N80" s="21">
        <v>0</v>
      </c>
      <c r="O80" s="21">
        <v>0</v>
      </c>
      <c r="P80" s="21">
        <f>=PARAM!$C$27/2-1</f>
        <v>1</v>
      </c>
      <c r="Q80" s="21">
        <v>0</v>
      </c>
      <c r="R80" s="21">
        <f>=-((PARAM!$C$14/2-PARAM!$H$27-PARAM!$G$27/2)/(PARAM!$F$27/2-1))</f>
        <v>-55</v>
      </c>
      <c r="S80" s="21">
        <v>0</v>
      </c>
      <c r="T80" s="21">
        <f>=PARAM!$F$27/2-1</f>
        <v>1</v>
      </c>
    </row>
    <row r="81" spans="2:20" x14ac:dyDescent="0.25">
      <c r="B81" s="20" t="s">
        <v>171</v>
      </c>
      <c r="C81" s="21" t="s">
        <v>194</v>
      </c>
      <c r="D81" s="21" t="s">
        <v>153</v>
      </c>
      <c r="E81" s="21"/>
      <c r="F81" s="21">
        <f>=(PARAM!$D$27/2)</f>
        <v>35</v>
      </c>
      <c r="G81" s="21">
        <f>=(PARAM!$G$27/2)</f>
        <v>50</v>
      </c>
      <c r="H81" s="21">
        <f>=-((PARAM!$D$6/2+PARAM!$E$14+PARAM!$D$6/2-PARAM!$G$6-PARAM!$E$15)/2)-PARAM!$F$24/2</f>
        <v>-177</v>
      </c>
      <c r="I81" s="21" t="s">
        <v>173</v>
      </c>
      <c r="J81" s="21">
        <v>0</v>
      </c>
      <c r="K81" s="21">
        <v>0</v>
      </c>
      <c r="L81" s="21">
        <v>0</v>
      </c>
      <c r="M81" s="21">
        <f>=((PARAM!$D$14/2-PARAM!$E$27-PARAM!$D$27/2)/(PARAM!$C$27/2-1))</f>
        <v>75</v>
      </c>
      <c r="N81" s="21">
        <v>0</v>
      </c>
      <c r="O81" s="21">
        <v>0</v>
      </c>
      <c r="P81" s="21">
        <f>=PARAM!$C$27/2-1</f>
        <v>1</v>
      </c>
      <c r="Q81" s="21">
        <v>0</v>
      </c>
      <c r="R81" s="21">
        <f>=((PARAM!$C$14/2-PARAM!$H$27-PARAM!$G$27/2)/(PARAM!$F$27/2-1))</f>
        <v>55</v>
      </c>
      <c r="S81" s="21">
        <v>0</v>
      </c>
      <c r="T81" s="21">
        <f>=PARAM!$F$27/2-1</f>
        <v>1</v>
      </c>
    </row>
    <row r="82" spans="2:20" x14ac:dyDescent="0.25">
      <c r="B82" s="20" t="s">
        <v>171</v>
      </c>
      <c r="C82" s="21" t="s">
        <v>194</v>
      </c>
      <c r="D82" s="21" t="s">
        <v>153</v>
      </c>
      <c r="E82" s="21"/>
      <c r="F82" s="21">
        <f>=(PARAM!$D$27/2)</f>
        <v>35</v>
      </c>
      <c r="G82" s="21">
        <f>=-(PARAM!$G$27/2)</f>
        <v>-50</v>
      </c>
      <c r="H82" s="21">
        <f>=-((PARAM!$D$6/2+PARAM!$E$14+PARAM!$D$6/2-PARAM!$G$6-PARAM!$E$15)/2)-PARAM!$F$24/2</f>
        <v>-177</v>
      </c>
      <c r="I82" s="21" t="s">
        <v>173</v>
      </c>
      <c r="J82" s="21">
        <v>0</v>
      </c>
      <c r="K82" s="21">
        <v>0</v>
      </c>
      <c r="L82" s="21">
        <v>0</v>
      </c>
      <c r="M82" s="21">
        <f>=((PARAM!$D$14/2-PARAM!$E$27-PARAM!$D$27/2)/(PARAM!$C$27/2-1))</f>
        <v>75</v>
      </c>
      <c r="N82" s="21">
        <v>0</v>
      </c>
      <c r="O82" s="21">
        <v>0</v>
      </c>
      <c r="P82" s="21">
        <f>=PARAM!$C$27/2-1</f>
        <v>1</v>
      </c>
      <c r="Q82" s="21">
        <v>0</v>
      </c>
      <c r="R82" s="21">
        <f>=-((PARAM!$C$14/2-PARAM!$H$27-PARAM!$G$27/2)/(PARAM!$F$27/2-1))</f>
        <v>-55</v>
      </c>
      <c r="S82" s="21">
        <v>0</v>
      </c>
      <c r="T82" s="21">
        <f>=PARAM!$F$27/2-1</f>
        <v>1</v>
      </c>
    </row>
    <row r="83" spans="2:20" x14ac:dyDescent="0.25">
      <c r="B83" s="20" t="s">
        <v>171</v>
      </c>
      <c r="C83" s="21" t="s">
        <v>194</v>
      </c>
      <c r="D83" s="21" t="s">
        <v>153</v>
      </c>
      <c r="E83" s="21"/>
      <c r="F83" s="21">
        <f>=-(PARAM!$D$27/2)</f>
        <v>-35</v>
      </c>
      <c r="G83" s="21">
        <f>=(PARAM!$G$27/2)</f>
        <v>50</v>
      </c>
      <c r="H83" s="21">
        <f>=-((PARAM!$D$6/2+PARAM!$E$14+PARAM!$D$6/2-PARAM!$G$6-PARAM!$E$15)/2)-PARAM!$F$24/2</f>
        <v>-177</v>
      </c>
      <c r="I83" s="21" t="s">
        <v>173</v>
      </c>
      <c r="J83" s="21">
        <v>0</v>
      </c>
      <c r="K83" s="21">
        <v>0</v>
      </c>
      <c r="L83" s="21">
        <v>0</v>
      </c>
      <c r="M83" s="21">
        <f>=-((PARAM!$D$14/2-PARAM!$E$27-PARAM!$D$27/2)/(PARAM!$C$27/2-1))</f>
        <v>-75</v>
      </c>
      <c r="N83" s="21">
        <v>0</v>
      </c>
      <c r="O83" s="21">
        <v>0</v>
      </c>
      <c r="P83" s="21">
        <f>=PARAM!$C$27/2-1</f>
        <v>1</v>
      </c>
      <c r="Q83" s="21">
        <v>0</v>
      </c>
      <c r="R83" s="21">
        <f>=((PARAM!$C$14/2-PARAM!$H$27-PARAM!$G$27/2)/(PARAM!$F$27/2-1))</f>
        <v>55</v>
      </c>
      <c r="S83" s="21">
        <v>0</v>
      </c>
      <c r="T83" s="21">
        <f>=PARAM!$F$27/2-1</f>
        <v>1</v>
      </c>
    </row>
    <row r="84" spans="2:20" x14ac:dyDescent="0.25">
      <c r="B84" s="20" t="s">
        <v>171</v>
      </c>
      <c r="C84" s="21" t="s">
        <v>194</v>
      </c>
      <c r="D84" s="21" t="s">
        <v>153</v>
      </c>
      <c r="E84" s="21"/>
      <c r="F84" s="21">
        <f>=-(PARAM!$D$27/2)</f>
        <v>-35</v>
      </c>
      <c r="G84" s="21">
        <f>=-(PARAM!$G$27/2)</f>
        <v>-50</v>
      </c>
      <c r="H84" s="21">
        <f>=-((PARAM!$D$6/2+PARAM!$E$14+PARAM!$D$6/2-PARAM!$G$6-PARAM!$E$15)/2)-PARAM!$F$24/2</f>
        <v>-177</v>
      </c>
      <c r="I84" s="21" t="s">
        <v>173</v>
      </c>
      <c r="J84" s="21">
        <v>0</v>
      </c>
      <c r="K84" s="21">
        <v>0</v>
      </c>
      <c r="L84" s="21">
        <v>0</v>
      </c>
      <c r="M84" s="21">
        <f>=-((PARAM!$D$14/2-PARAM!$E$27-PARAM!$D$27/2)/(PARAM!$C$27/2-1))</f>
        <v>-75</v>
      </c>
      <c r="N84" s="21">
        <v>0</v>
      </c>
      <c r="O84" s="21">
        <v>0</v>
      </c>
      <c r="P84" s="21">
        <f>=PARAM!$C$27/2-1</f>
        <v>1</v>
      </c>
      <c r="Q84" s="21">
        <v>0</v>
      </c>
      <c r="R84" s="21">
        <f>=-((PARAM!$C$14/2-PARAM!$H$27-PARAM!$G$27/2)/(PARAM!$F$27/2-1))</f>
        <v>-55</v>
      </c>
      <c r="S84" s="21">
        <v>0</v>
      </c>
      <c r="T84" s="21">
        <f>=PARAM!$F$27/2-1</f>
        <v>1</v>
      </c>
    </row>
    <row r="85" spans="1:20" x14ac:dyDescent="0.25">
      <c r="A85" s="16" t="s">
        <v>195</v>
      </c>
      <c r="B85" s="20" t="s">
        <v>171</v>
      </c>
      <c r="C85" s="21" t="s">
        <v>194</v>
      </c>
      <c r="D85" s="21" t="s">
        <v>156</v>
      </c>
      <c r="E85" s="21"/>
      <c r="F85" s="21">
        <f>=(PARAM!$D$28/2)</f>
        <v>30</v>
      </c>
      <c r="G85" s="21">
        <f>=PARAM!$G$24/2</f>
        <v>30</v>
      </c>
      <c r="H85" s="21">
        <f>=-(PARAM!$C$16/2-PARAM!$H$28)</f>
        <v>-70</v>
      </c>
      <c r="I85" s="21" t="s">
        <v>174</v>
      </c>
      <c r="J85" s="21">
        <v>0</v>
      </c>
      <c r="K85" s="21">
        <v>0</v>
      </c>
      <c r="L85" s="21">
        <v>0</v>
      </c>
      <c r="M85" s="21">
        <f>=((PARAM!$D$16/2-PARAM!$E$28-PARAM!$D$28/2)/(PARAM!$C$28/2-1))</f>
        <v>70</v>
      </c>
      <c r="N85" s="21">
        <v>0</v>
      </c>
      <c r="O85" s="21">
        <v>0</v>
      </c>
      <c r="P85" s="21">
        <f>=PARAM!$C$28/2-1</f>
        <v>1</v>
      </c>
      <c r="Q85" s="21">
        <v>0</v>
      </c>
      <c r="R85" s="21">
        <v>0</v>
      </c>
      <c r="S85" s="21">
        <f>=(PARAM!$C$16-2*PARAM!$H$28-PARAM!$G$28)/(PARAM!$F$28-1)</f>
        <v>70</v>
      </c>
      <c r="T85" s="21">
        <f>=PARAM!$F$28-1</f>
        <v>2</v>
      </c>
    </row>
    <row r="86" spans="2:20" x14ac:dyDescent="0.25">
      <c r="B86" s="20" t="s">
        <v>171</v>
      </c>
      <c r="C86" s="21" t="s">
        <v>194</v>
      </c>
      <c r="D86" s="21" t="s">
        <v>156</v>
      </c>
      <c r="E86" s="21"/>
      <c r="F86" s="21">
        <f>=-(PARAM!$D$28/2)</f>
        <v>-30</v>
      </c>
      <c r="G86" s="21">
        <f>=PARAM!$G$24/2</f>
        <v>30</v>
      </c>
      <c r="H86" s="21">
        <f>=-(PARAM!$C$16/2-PARAM!$H$28)</f>
        <v>-70</v>
      </c>
      <c r="I86" s="21" t="s">
        <v>174</v>
      </c>
      <c r="J86" s="21">
        <v>0</v>
      </c>
      <c r="K86" s="21">
        <v>0</v>
      </c>
      <c r="L86" s="21">
        <v>0</v>
      </c>
      <c r="M86" s="21">
        <f>=-((PARAM!$D$16/2-PARAM!$E$28-PARAM!$D$28/2)/(PARAM!$C$28/2-1))</f>
        <v>-70</v>
      </c>
      <c r="N86" s="21">
        <v>0</v>
      </c>
      <c r="O86" s="21">
        <v>0</v>
      </c>
      <c r="P86" s="21">
        <f>=PARAM!$C$28/2-1</f>
        <v>1</v>
      </c>
      <c r="Q86" s="21">
        <v>0</v>
      </c>
      <c r="R86" s="21">
        <v>0</v>
      </c>
      <c r="S86" s="21">
        <f>=(PARAM!$C$16-2*PARAM!$H$28-PARAM!$G$28)/(PARAM!$F$28-1)</f>
        <v>70</v>
      </c>
      <c r="T86" s="21">
        <f>=PARAM!$F$28-1</f>
        <v>2</v>
      </c>
    </row>
    <row r="87" spans="2:6" x14ac:dyDescent="0.25">
      <c r="B87" s="20" t="s">
        <v>171</v>
      </c>
      <c r="C87" s="21" t="s">
        <v>194</v>
      </c>
      <c r="D87" s="21" t="s">
        <v>176</v>
      </c>
      <c r="E87" s="21" t="s">
        <v>196</v>
      </c>
      <c r="F87" s="21" t="s">
        <v>126</v>
      </c>
    </row>
    <row r="88" spans="1:1" x14ac:dyDescent="0.25">
      <c r="A88" s="16" t="s">
        <v>69</v>
      </c>
    </row>
    <row r="89" spans="1:1" x14ac:dyDescent="0.25">
      <c r="A89" s="16" t="s">
        <v>197</v>
      </c>
    </row>
    <row r="90" spans="2:8" x14ac:dyDescent="0.25">
      <c r="B90" s="20" t="s">
        <v>198</v>
      </c>
      <c r="C90" s="21" t="s">
        <v>199</v>
      </c>
      <c r="D90" s="21" t="s">
        <v>172</v>
      </c>
      <c r="E90" s="21" t="s">
        <v>200</v>
      </c>
      <c r="F90" s="21">
        <f>=-(PARAM!$C$7/2+PARAM!$J$6/2)</f>
        <v>-910</v>
      </c>
      <c r="G90" s="21">
        <v>0</v>
      </c>
      <c r="H90" s="21">
        <f>=(PARAM!$D$6/2-PARAM!$G$6/2)</f>
        <v>142.5</v>
      </c>
    </row>
    <row r="91" spans="2:8" x14ac:dyDescent="0.25">
      <c r="B91" s="20" t="s">
        <v>198</v>
      </c>
      <c r="C91" s="21" t="s">
        <v>199</v>
      </c>
      <c r="D91" s="21" t="s">
        <v>178</v>
      </c>
      <c r="E91" s="21" t="s">
        <v>200</v>
      </c>
      <c r="F91" s="21">
        <f>=PARAM!$C$7/2+PARAM!$J$6/2</f>
        <v>910</v>
      </c>
      <c r="G91" s="21">
        <v>0</v>
      </c>
      <c r="H91" s="21">
        <f>=(PARAM!$D$6/2-PARAM!$G$6/2)</f>
        <v>142.5</v>
      </c>
    </row>
    <row r="92" spans="2:8" x14ac:dyDescent="0.25">
      <c r="B92" s="20" t="s">
        <v>198</v>
      </c>
      <c r="C92" s="21" t="s">
        <v>199</v>
      </c>
      <c r="D92" s="21" t="s">
        <v>180</v>
      </c>
      <c r="E92" s="21" t="s">
        <v>200</v>
      </c>
      <c r="F92" s="21">
        <v>0</v>
      </c>
      <c r="G92" s="21">
        <v>0</v>
      </c>
      <c r="H92" s="21">
        <f>=PARAM!$D$6/2+PARAM!$E$14/2</f>
        <v>156</v>
      </c>
    </row>
    <row r="93" spans="2:8" x14ac:dyDescent="0.25">
      <c r="B93" s="20" t="s">
        <v>198</v>
      </c>
      <c r="C93" s="21" t="s">
        <v>199</v>
      </c>
      <c r="D93" s="21" t="s">
        <v>182</v>
      </c>
      <c r="E93" s="21" t="s">
        <v>200</v>
      </c>
      <c r="F93" s="21">
        <v>0</v>
      </c>
      <c r="G93" s="21">
        <f>=PARAM!$G$27/2+((PARAM!$C$14/2-PARAM!$H$27-PARAM!$G$27/2)/(PARAM!$F$27/2-1))/2</f>
        <v>77.5</v>
      </c>
      <c r="H93" s="21">
        <f>=PARAM!$D$6/2-PARAM!$G$6-PARAM!$E$15/2</f>
        <v>130</v>
      </c>
    </row>
    <row r="94" spans="2:8" x14ac:dyDescent="0.25">
      <c r="B94" s="20" t="s">
        <v>198</v>
      </c>
      <c r="C94" s="21" t="s">
        <v>199</v>
      </c>
      <c r="D94" s="21" t="s">
        <v>185</v>
      </c>
      <c r="E94" s="21" t="s">
        <v>200</v>
      </c>
      <c r="F94" s="21">
        <v>0</v>
      </c>
      <c r="G94" s="21">
        <v>0</v>
      </c>
      <c r="H94" s="21">
        <f>=-(PARAM!$D$6/2+PARAM!$E$14/2)</f>
        <v>-156</v>
      </c>
    </row>
    <row r="95" spans="2:8" x14ac:dyDescent="0.25">
      <c r="B95" s="20" t="s">
        <v>198</v>
      </c>
      <c r="C95" s="21" t="s">
        <v>199</v>
      </c>
      <c r="D95" s="21" t="s">
        <v>187</v>
      </c>
      <c r="E95" s="21" t="s">
        <v>200</v>
      </c>
      <c r="F95" s="21">
        <v>0</v>
      </c>
      <c r="G95" s="21">
        <f>=PARAM!$G$27/2+((PARAM!$C$14/2-PARAM!$H$27-PARAM!$G$27/2)/(PARAM!$F$27/2-1))/2</f>
        <v>77.5</v>
      </c>
      <c r="H95" s="21">
        <f>=-(PARAM!$D$6/2-PARAM!$G$6-PARAM!$E$15/2)</f>
        <v>-130</v>
      </c>
    </row>
    <row r="96" spans="2:8" x14ac:dyDescent="0.25">
      <c r="B96" s="20" t="s">
        <v>198</v>
      </c>
      <c r="C96" s="21" t="s">
        <v>199</v>
      </c>
      <c r="D96" s="21" t="s">
        <v>190</v>
      </c>
      <c r="E96" s="21" t="s">
        <v>200</v>
      </c>
      <c r="F96" s="21">
        <v>0</v>
      </c>
      <c r="G96" s="21">
        <f>=PARAM!$F$6/2+PARAM!$E$16/2</f>
        <v>10</v>
      </c>
      <c r="H96" s="21">
        <v>0</v>
      </c>
    </row>
    <row r="97" spans="2:8" x14ac:dyDescent="0.25">
      <c r="B97" s="20" t="s">
        <v>198</v>
      </c>
      <c r="C97" s="21" t="s">
        <v>199</v>
      </c>
      <c r="D97" s="21" t="s">
        <v>194</v>
      </c>
      <c r="E97" s="21" t="s">
        <v>200</v>
      </c>
      <c r="F97" s="21">
        <f>=(PARAM!$D$27/2)</f>
        <v>35</v>
      </c>
      <c r="G97" s="21">
        <f>=(PARAM!$G$27/2)</f>
        <v>50</v>
      </c>
      <c r="H97" s="21">
        <f>=(PARAM!$D$6/2+PARAM!$E$14+PARAM!$D$6/2-PARAM!$G$6-PARAM!$E$15)/2-PARAM!$F$24/2</f>
        <v>110</v>
      </c>
    </row>
    <row r="98" spans="1:1" x14ac:dyDescent="0.25">
      <c r="A98" s="16" t="s">
        <v>69</v>
      </c>
    </row>
    <row r="99" spans="1:1" x14ac:dyDescent="0.25">
      <c r="A99" s="16" t="s">
        <v>201</v>
      </c>
    </row>
    <row r="100" spans="2:5" x14ac:dyDescent="0.25">
      <c r="B100" s="20" t="s">
        <v>202</v>
      </c>
      <c r="C100" s="21" t="s">
        <v>180</v>
      </c>
      <c r="D100" s="21" t="s">
        <v>203</v>
      </c>
      <c r="E100" s="21" t="s">
        <v>204</v>
      </c>
    </row>
    <row r="101" spans="2:5" x14ac:dyDescent="0.25">
      <c r="B101" s="20" t="s">
        <v>202</v>
      </c>
      <c r="C101" s="21" t="s">
        <v>182</v>
      </c>
      <c r="D101" s="21" t="s">
        <v>205</v>
      </c>
      <c r="E101" s="21" t="s">
        <v>206</v>
      </c>
    </row>
    <row r="102" spans="2:5" x14ac:dyDescent="0.25">
      <c r="B102" s="20" t="s">
        <v>202</v>
      </c>
      <c r="C102" s="21" t="s">
        <v>185</v>
      </c>
      <c r="D102" s="21" t="s">
        <v>205</v>
      </c>
      <c r="E102" s="21" t="s">
        <v>207</v>
      </c>
    </row>
    <row r="103" spans="2:5" x14ac:dyDescent="0.25">
      <c r="B103" s="20" t="s">
        <v>202</v>
      </c>
      <c r="C103" s="21" t="s">
        <v>187</v>
      </c>
      <c r="D103" s="21" t="s">
        <v>203</v>
      </c>
      <c r="E103" s="21" t="s">
        <v>208</v>
      </c>
    </row>
    <row r="104" spans="2:5" x14ac:dyDescent="0.25">
      <c r="B104" s="20" t="s">
        <v>202</v>
      </c>
      <c r="C104" s="21" t="s">
        <v>190</v>
      </c>
      <c r="D104" s="21" t="s">
        <v>209</v>
      </c>
      <c r="E104" s="21" t="s">
        <v>210</v>
      </c>
    </row>
    <row r="105" spans="1:1" x14ac:dyDescent="0.25">
      <c r="A105" s="16" t="s">
        <v>69</v>
      </c>
    </row>
    <row r="106" spans="2:2" x14ac:dyDescent="0.25">
      <c r="B106" s="20" t="s">
        <v>211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SECT</vt: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2026-08-21T02:11:35Z</dcterms:created>
  <dcterms:modified xsi:type="dcterms:W3CDTF">2026-08-21T02:11:35Z</dcterms:modified>
</cp:coreProperties>
</file>